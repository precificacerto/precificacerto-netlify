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atheus Adabtec\Simples\"/>
    </mc:Choice>
  </mc:AlternateContent>
  <xr:revisionPtr revIDLastSave="0" documentId="13_ncr:1_{E6D64881-C0D0-4871-9D4D-EABB8E2BA891}" xr6:coauthVersionLast="43" xr6:coauthVersionMax="43" xr10:uidLastSave="{00000000-0000-0000-0000-000000000000}"/>
  <bookViews>
    <workbookView xWindow="-108" yWindow="-108" windowWidth="23256" windowHeight="12456" activeTab="1" xr2:uid="{F2F47505-BDEC-4C1B-BC13-5376130B7F6E}"/>
  </bookViews>
  <sheets>
    <sheet name="Simples Revenda" sheetId="2" r:id="rId1"/>
    <sheet name="Categorias Simples" sheetId="3" r:id="rId2"/>
    <sheet name="Simples DRE Financeir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2" i="5" l="1"/>
  <c r="H27" i="5"/>
  <c r="H26" i="5"/>
  <c r="H25" i="5"/>
  <c r="H24" i="5"/>
  <c r="H19" i="5"/>
  <c r="H15" i="5"/>
  <c r="U121" i="2"/>
  <c r="K121" i="2"/>
  <c r="K119" i="2"/>
  <c r="K118" i="2"/>
  <c r="L115" i="2"/>
  <c r="L113" i="2"/>
  <c r="L111" i="2"/>
  <c r="L109" i="2"/>
  <c r="L107" i="2"/>
  <c r="L104" i="2"/>
  <c r="L108" i="2" s="1"/>
  <c r="L103" i="2"/>
  <c r="L101" i="2"/>
  <c r="L100" i="2"/>
  <c r="U90" i="2"/>
  <c r="L90" i="2"/>
  <c r="L88" i="2"/>
  <c r="L87" i="2"/>
  <c r="L86" i="2"/>
  <c r="L81" i="2"/>
  <c r="L80" i="2"/>
  <c r="L82" i="2" s="1"/>
  <c r="L89" i="2" s="1"/>
  <c r="L70" i="2"/>
  <c r="L67" i="2"/>
  <c r="U70" i="2" l="1"/>
  <c r="J14" i="5" l="1"/>
  <c r="O47" i="2"/>
  <c r="B46" i="2"/>
  <c r="O43" i="2"/>
  <c r="B42" i="2"/>
  <c r="O39" i="2"/>
  <c r="B38" i="2"/>
  <c r="O35" i="2"/>
  <c r="O34" i="2"/>
  <c r="O33" i="2"/>
  <c r="Q29" i="2" s="1"/>
  <c r="O32" i="2"/>
  <c r="B32" i="2"/>
  <c r="AB18" i="2"/>
  <c r="U18" i="2"/>
  <c r="N18" i="2"/>
  <c r="F14" i="2"/>
  <c r="F13" i="2"/>
  <c r="F12" i="2"/>
  <c r="F18" i="2" l="1"/>
  <c r="U27" i="2" s="1"/>
  <c r="U29" i="2"/>
  <c r="U52" i="2" s="1"/>
  <c r="U47" i="2" l="1"/>
  <c r="U62" i="2"/>
  <c r="U35" i="2"/>
  <c r="U33" i="2"/>
  <c r="U39" i="2"/>
  <c r="U43" i="2"/>
  <c r="U34" i="2"/>
  <c r="U32" i="2"/>
  <c r="O27" i="2"/>
  <c r="H10" i="5" l="1"/>
  <c r="J6" i="5"/>
  <c r="U126" i="2"/>
  <c r="H9" i="5" s="1"/>
  <c r="E27" i="2"/>
  <c r="B26" i="2" s="1"/>
  <c r="O52" i="2"/>
  <c r="J18" i="5" l="1"/>
  <c r="J31" i="5" l="1"/>
  <c r="J23" i="5" l="1"/>
  <c r="J8" i="5" l="1"/>
  <c r="J12" i="5" s="1"/>
  <c r="L14" i="5" l="1"/>
  <c r="L31" i="5"/>
  <c r="J21" i="5"/>
  <c r="J29" i="5" s="1"/>
  <c r="J37" i="5" s="1"/>
  <c r="G27" i="5" l="1"/>
  <c r="L18" i="5"/>
  <c r="N21" i="5" s="1"/>
  <c r="G25" i="5"/>
  <c r="L23" i="5"/>
  <c r="G19" i="5"/>
  <c r="G24" i="5"/>
  <c r="G26" i="5"/>
  <c r="G32" i="5"/>
  <c r="N29" i="5" l="1"/>
  <c r="N37" i="5" s="1"/>
</calcChain>
</file>

<file path=xl/sharedStrings.xml><?xml version="1.0" encoding="utf-8"?>
<sst xmlns="http://schemas.openxmlformats.org/spreadsheetml/2006/main" count="237" uniqueCount="176">
  <si>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</si>
  <si>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</si>
  <si>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</si>
  <si>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</si>
  <si>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</si>
  <si>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</si>
  <si>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</si>
  <si>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</si>
  <si>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</si>
  <si>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%</t>
  </si>
  <si>
    <t>Valor total custo MP/Fornecedores</t>
  </si>
  <si>
    <t>Custo líquido do produto</t>
  </si>
  <si>
    <t>Valores oriundos do sistema Precifica Certo</t>
  </si>
  <si>
    <t>Previsão Mensal</t>
  </si>
  <si>
    <t>Custo Produtos</t>
  </si>
  <si>
    <t>Custo Total dos Produtos</t>
  </si>
  <si>
    <t>Coeficiente</t>
  </si>
  <si>
    <t>Total CMV</t>
  </si>
  <si>
    <t>Desp. Fixa</t>
  </si>
  <si>
    <t>Fixa</t>
  </si>
  <si>
    <t>Desp. Variável</t>
  </si>
  <si>
    <t>Variavel</t>
  </si>
  <si>
    <t>Desp. Financeira</t>
  </si>
  <si>
    <t>Financeira</t>
  </si>
  <si>
    <t>-----&gt;</t>
  </si>
  <si>
    <t>Comissões</t>
  </si>
  <si>
    <t>Comissão</t>
  </si>
  <si>
    <t>Margem de Lucro</t>
  </si>
  <si>
    <t>Lucro Liquido Desejado</t>
  </si>
  <si>
    <t>Base bruta com valores calculados por dentro (Exceto IPI | CBS e IBS)</t>
  </si>
  <si>
    <t>ICMS-ST (Quando não gera crédito)</t>
  </si>
  <si>
    <t>NCM/CNAE defini se será crédito ou custo</t>
  </si>
  <si>
    <t>Valor da operação interna</t>
  </si>
  <si>
    <t>Seguros</t>
  </si>
  <si>
    <t>Despesas Acessórias</t>
  </si>
  <si>
    <t>Valor total da operação interna do preço de venda                    (Base Líquida da Operação)</t>
  </si>
  <si>
    <t>Total %</t>
  </si>
  <si>
    <t>Custo dos produtos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</si>
  <si>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</si>
  <si>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</si>
  <si>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</si>
  <si>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</si>
  <si>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</si>
  <si>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</si>
  <si>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</si>
  <si>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</si>
  <si>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</si>
  <si>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HORAS EXTRAS - SALÁRIOS</t>
  </si>
  <si>
    <t>INSS (Setor Produtivo)</t>
  </si>
  <si>
    <t>PLANO DE SAÚDE (Setor Produtivo)</t>
  </si>
  <si>
    <t>VALE  ALIMENTAÇÃO (Setor Produtivo)</t>
  </si>
  <si>
    <t>VALE TRANSPORTE (Setor Produtivo)</t>
  </si>
  <si>
    <t>MÃO DE OBRA PRODUTIVA  TERCEIRIZADA - Passivel de crédito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</si>
  <si>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</si>
  <si>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</si>
  <si>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</si>
  <si>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</si>
  <si>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</si>
  <si>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</si>
  <si>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</si>
  <si>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</si>
  <si>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</si>
  <si>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</si>
  <si>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</si>
  <si>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</si>
  <si>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</si>
  <si>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</si>
  <si>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</si>
  <si>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</si>
  <si>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</si>
  <si>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</si>
  <si>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</si>
  <si>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</si>
  <si>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</si>
  <si>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</si>
  <si>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</si>
  <si>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</si>
  <si>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</si>
  <si>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</si>
  <si>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</si>
  <si>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</si>
  <si>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</si>
  <si>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</si>
  <si>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</si>
  <si>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</si>
  <si>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</si>
  <si>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</si>
  <si>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</si>
  <si>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</si>
  <si>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</si>
  <si>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</si>
  <si>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</si>
  <si>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</si>
  <si>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</si>
  <si>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</si>
  <si>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</si>
  <si>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</si>
  <si>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</si>
  <si>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</si>
  <si>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</si>
  <si>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</si>
  <si>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</si>
  <si>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</si>
  <si>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</si>
  <si>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</si>
  <si>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</si>
  <si>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Impostos sobre faturamento</t>
  </si>
  <si>
    <t>COMISSÕES DE VENDA</t>
  </si>
  <si>
    <t>Lucro</t>
  </si>
  <si>
    <t>INVESTIMENTOS (máquinas, equipam, expansão e melhorias)</t>
  </si>
  <si>
    <t>DISTRIBUIÇÃO DE LUCROS</t>
  </si>
  <si>
    <t>Receita Bruta</t>
  </si>
  <si>
    <t>Valores oriundos da base Anual</t>
  </si>
  <si>
    <t>(-)</t>
  </si>
  <si>
    <t>=</t>
  </si>
  <si>
    <t>Receita líquida de venda interna</t>
  </si>
  <si>
    <t>Lucro Bruto</t>
  </si>
  <si>
    <t>Despesas Operacionais</t>
  </si>
  <si>
    <t>Despesa MO Indireta</t>
  </si>
  <si>
    <t>Despesa Fixa</t>
  </si>
  <si>
    <t>Despesa Variavel</t>
  </si>
  <si>
    <t>Lucro Operacional (EBITA/EBIT)</t>
  </si>
  <si>
    <t>Despesa Financeira</t>
  </si>
  <si>
    <t>Lucro Líquido</t>
  </si>
  <si>
    <t>DRE - Financeiro</t>
  </si>
  <si>
    <t>Demonstrativo do Resultado do Exercício</t>
  </si>
  <si>
    <t>Custo Líquido dos Produtos</t>
  </si>
  <si>
    <t>Custos Líquido dos Produtos (Base operacional - CMV)</t>
  </si>
  <si>
    <t>Atividades operacionais de entrega</t>
  </si>
  <si>
    <t>Deduções Tributárias Sobre Receita</t>
  </si>
  <si>
    <t>Simples</t>
  </si>
  <si>
    <t>Simples Nacional</t>
  </si>
  <si>
    <t>Precificação por Margem de Contribuição Simples</t>
  </si>
  <si>
    <t>Desp. MO Total</t>
  </si>
  <si>
    <t>MO Direta + Indireta</t>
  </si>
  <si>
    <t>SIMPLES NACIONAL</t>
  </si>
  <si>
    <t>REGIME TRIBUTÁRIO</t>
  </si>
  <si>
    <t>Impostos sobre faturamento (Por Fora)</t>
  </si>
  <si>
    <t>Calculado por fora IS</t>
  </si>
  <si>
    <t>Acionador                            "x"</t>
  </si>
  <si>
    <t>Valor da operação interna de preço</t>
  </si>
  <si>
    <t>Valor da alíquota de venda</t>
  </si>
  <si>
    <t xml:space="preserve">Valor de IS a reter </t>
  </si>
  <si>
    <t>Total imposto IS a destacar na nota</t>
  </si>
  <si>
    <t>ICMS-ST</t>
  </si>
  <si>
    <t>Cálculo do ICMS-ST</t>
  </si>
  <si>
    <t>Valor do IPI</t>
  </si>
  <si>
    <t>Valor total da base do calculo</t>
  </si>
  <si>
    <t>MVA original</t>
  </si>
  <si>
    <t>ICMS interestadual (operação entre estados)</t>
  </si>
  <si>
    <t>ICMS de destino (ICMS do estado do cliente)</t>
  </si>
  <si>
    <t>Total a recolher do ICMS-ST</t>
  </si>
  <si>
    <t>Valor com agragação de margem futura</t>
  </si>
  <si>
    <t>ICMS Bruto x Alíquoota de destino</t>
  </si>
  <si>
    <t>ICMS Próprio</t>
  </si>
  <si>
    <t>ICMS-ST a recolher</t>
  </si>
  <si>
    <t>Total ICMS-ST a destacar na nota</t>
  </si>
  <si>
    <t>DIFAL</t>
  </si>
  <si>
    <t>Calculado por dentro ICMS</t>
  </si>
  <si>
    <t>Valor da alíquota de venda Destino</t>
  </si>
  <si>
    <t>Equiv. Sobre Valor Bruto</t>
  </si>
  <si>
    <t>Valor final da alíquota</t>
  </si>
  <si>
    <t>Valor do ICMS de DESTINO</t>
  </si>
  <si>
    <t>Calculado por dentro PIS/COFINS</t>
  </si>
  <si>
    <t>Preço interno Líquido</t>
  </si>
  <si>
    <t>Valor ICMS</t>
  </si>
  <si>
    <t>Base do calculo</t>
  </si>
  <si>
    <t>PIS/COFINS</t>
  </si>
  <si>
    <t>Valor do Difal de DESTINO, (ICMS + PIS/COFINS)</t>
  </si>
  <si>
    <t>Valor do Difal de ORIGEM, (ICMS + PIS/COFINS)</t>
  </si>
  <si>
    <t>Diferença DIFAL</t>
  </si>
  <si>
    <t>Total DIFAL a destacar na nota</t>
  </si>
  <si>
    <t>Valor Total de Venda                                  (Faturamento Bruto)</t>
  </si>
  <si>
    <t>RAT / FAP</t>
  </si>
  <si>
    <t>INSS PATRONAL (Setor Produtivo)</t>
  </si>
  <si>
    <t>INSS PATRONAL (Pró-Labo/ Admin/ Comer)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</si>
</sst>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_-&quot;R$&quot;\ * #,##0.00_-;\-&quot;R$&quot;\ * #,##0.00_-;_-&quot;R$&quot;\ * &quot;-&quot;?????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8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rgb="FF000000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0">
    <xf numFmtId="0" fontId="0" fillId="0" borderId="0" xfId="0"/>
    <xf numFmtId="0" fontId="0" fillId="2" borderId="2" xfId="0" applyFill="1" applyBorder="1"/>
    <xf numFmtId="0" fontId="5" fillId="2" borderId="3" xfId="0" applyFont="1" applyFill="1" applyBorder="1"/>
    <xf numFmtId="0" fontId="5" fillId="2" borderId="3" xfId="0" applyFont="1" applyFill="1" applyBorder="1" applyAlignment="1">
      <alignment horizontal="center"/>
    </xf>
    <xf numFmtId="0" fontId="0" fillId="2" borderId="3" xfId="0" applyFill="1" applyBorder="1"/>
    <xf numFmtId="164" fontId="8" fillId="2" borderId="3" xfId="2" applyNumberFormat="1" applyFont="1" applyFill="1" applyBorder="1" applyAlignment="1">
      <alignment horizontal="center"/>
    </xf>
    <xf numFmtId="44" fontId="3" fillId="2" borderId="3" xfId="1" applyFont="1" applyFill="1" applyBorder="1"/>
    <xf numFmtId="44" fontId="5" fillId="2" borderId="3" xfId="1" applyFont="1" applyFill="1" applyBorder="1"/>
    <xf numFmtId="165" fontId="5" fillId="2" borderId="3" xfId="2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0" fillId="2" borderId="4" xfId="0" applyFill="1" applyBorder="1"/>
    <xf numFmtId="0" fontId="0" fillId="2" borderId="5" xfId="0" applyFill="1" applyBorder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0" xfId="0" applyFill="1"/>
    <xf numFmtId="44" fontId="3" fillId="2" borderId="0" xfId="1" applyFont="1" applyFill="1"/>
    <xf numFmtId="44" fontId="5" fillId="2" borderId="0" xfId="1" applyFont="1" applyFill="1"/>
    <xf numFmtId="165" fontId="5" fillId="2" borderId="0" xfId="2" applyNumberFormat="1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0" fillId="2" borderId="6" xfId="0" applyFill="1" applyBorder="1"/>
    <xf numFmtId="164" fontId="8" fillId="2" borderId="0" xfId="2" applyNumberFormat="1" applyFont="1" applyFill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44" fontId="13" fillId="2" borderId="0" xfId="1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44" fontId="15" fillId="2" borderId="12" xfId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left" vertical="center"/>
    </xf>
    <xf numFmtId="0" fontId="18" fillId="2" borderId="9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44" fontId="16" fillId="2" borderId="0" xfId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4" fontId="17" fillId="2" borderId="0" xfId="1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4" fillId="2" borderId="0" xfId="0" applyFont="1" applyFill="1"/>
    <xf numFmtId="0" fontId="19" fillId="2" borderId="5" xfId="0" applyFont="1" applyFill="1" applyBorder="1"/>
    <xf numFmtId="0" fontId="19" fillId="2" borderId="0" xfId="0" applyFont="1" applyFill="1"/>
    <xf numFmtId="0" fontId="19" fillId="2" borderId="6" xfId="0" applyFont="1" applyFill="1" applyBorder="1"/>
    <xf numFmtId="0" fontId="20" fillId="3" borderId="8" xfId="0" applyFont="1" applyFill="1" applyBorder="1"/>
    <xf numFmtId="0" fontId="20" fillId="3" borderId="9" xfId="0" applyFont="1" applyFill="1" applyBorder="1"/>
    <xf numFmtId="0" fontId="11" fillId="2" borderId="0" xfId="0" applyFont="1" applyFill="1"/>
    <xf numFmtId="0" fontId="20" fillId="3" borderId="10" xfId="0" applyFont="1" applyFill="1" applyBorder="1"/>
    <xf numFmtId="44" fontId="21" fillId="3" borderId="10" xfId="1" applyFont="1" applyFill="1" applyBorder="1"/>
    <xf numFmtId="0" fontId="19" fillId="3" borderId="9" xfId="0" applyFont="1" applyFill="1" applyBorder="1"/>
    <xf numFmtId="44" fontId="19" fillId="3" borderId="9" xfId="1" applyFont="1" applyFill="1" applyBorder="1"/>
    <xf numFmtId="0" fontId="19" fillId="2" borderId="20" xfId="0" applyFont="1" applyFill="1" applyBorder="1"/>
    <xf numFmtId="0" fontId="11" fillId="2" borderId="14" xfId="0" applyFont="1" applyFill="1" applyBorder="1"/>
    <xf numFmtId="0" fontId="19" fillId="2" borderId="14" xfId="0" applyFont="1" applyFill="1" applyBorder="1"/>
    <xf numFmtId="44" fontId="19" fillId="2" borderId="14" xfId="1" applyFont="1" applyFill="1" applyBorder="1"/>
    <xf numFmtId="0" fontId="0" fillId="2" borderId="14" xfId="0" applyFill="1" applyBorder="1"/>
    <xf numFmtId="165" fontId="19" fillId="2" borderId="14" xfId="2" applyNumberFormat="1" applyFont="1" applyFill="1" applyBorder="1" applyAlignment="1">
      <alignment horizontal="center"/>
    </xf>
    <xf numFmtId="0" fontId="19" fillId="2" borderId="14" xfId="0" applyFont="1" applyFill="1" applyBorder="1" applyAlignment="1">
      <alignment horizontal="right"/>
    </xf>
    <xf numFmtId="0" fontId="19" fillId="2" borderId="21" xfId="0" applyFont="1" applyFill="1" applyBorder="1"/>
    <xf numFmtId="0" fontId="5" fillId="5" borderId="26" xfId="0" applyFont="1" applyFill="1" applyBorder="1" applyAlignment="1">
      <alignment horizontal="left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/>
    <xf numFmtId="10" fontId="5" fillId="5" borderId="0" xfId="2" applyNumberFormat="1" applyFont="1" applyFill="1" applyAlignment="1">
      <alignment horizontal="center" vertical="center"/>
    </xf>
    <xf numFmtId="164" fontId="1" fillId="2" borderId="0" xfId="2" applyNumberFormat="1" applyFill="1" applyAlignment="1">
      <alignment horizontal="left"/>
    </xf>
    <xf numFmtId="0" fontId="1" fillId="2" borderId="0" xfId="0" applyFont="1" applyFill="1"/>
    <xf numFmtId="44" fontId="1" fillId="2" borderId="0" xfId="1" applyFill="1" applyProtection="1">
      <protection locked="0"/>
    </xf>
    <xf numFmtId="0" fontId="5" fillId="5" borderId="14" xfId="0" applyFont="1" applyFill="1" applyBorder="1"/>
    <xf numFmtId="0" fontId="5" fillId="5" borderId="14" xfId="0" applyFont="1" applyFill="1" applyBorder="1" applyAlignment="1">
      <alignment horizontal="center"/>
    </xf>
    <xf numFmtId="0" fontId="5" fillId="5" borderId="13" xfId="0" applyFont="1" applyFill="1" applyBorder="1"/>
    <xf numFmtId="0" fontId="5" fillId="5" borderId="29" xfId="0" applyFont="1" applyFill="1" applyBorder="1" applyAlignment="1">
      <alignment horizontal="center"/>
    </xf>
    <xf numFmtId="0" fontId="5" fillId="5" borderId="3" xfId="0" applyFont="1" applyFill="1" applyBorder="1"/>
    <xf numFmtId="0" fontId="5" fillId="5" borderId="3" xfId="0" applyFont="1" applyFill="1" applyBorder="1" applyAlignment="1">
      <alignment horizontal="center"/>
    </xf>
    <xf numFmtId="44" fontId="5" fillId="5" borderId="0" xfId="0" applyNumberFormat="1" applyFont="1" applyFill="1"/>
    <xf numFmtId="10" fontId="5" fillId="4" borderId="0" xfId="2" applyNumberFormat="1" applyFont="1" applyFill="1" applyAlignment="1">
      <alignment horizontal="center" vertical="center"/>
    </xf>
    <xf numFmtId="165" fontId="5" fillId="5" borderId="29" xfId="0" applyNumberFormat="1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6" fillId="5" borderId="0" xfId="0" applyFont="1" applyFill="1"/>
    <xf numFmtId="10" fontId="6" fillId="4" borderId="29" xfId="2" applyNumberFormat="1" applyFont="1" applyFill="1" applyBorder="1" applyAlignment="1" applyProtection="1">
      <alignment horizontal="center" vertical="center"/>
      <protection locked="0"/>
    </xf>
    <xf numFmtId="165" fontId="5" fillId="5" borderId="34" xfId="0" applyNumberFormat="1" applyFont="1" applyFill="1" applyBorder="1" applyAlignment="1">
      <alignment horizontal="center"/>
    </xf>
    <xf numFmtId="44" fontId="6" fillId="5" borderId="0" xfId="0" applyNumberFormat="1" applyFont="1" applyFill="1"/>
    <xf numFmtId="10" fontId="6" fillId="4" borderId="0" xfId="2" applyNumberFormat="1" applyFont="1" applyFill="1" applyAlignment="1" applyProtection="1">
      <alignment horizontal="center" vertical="center"/>
      <protection locked="0"/>
    </xf>
    <xf numFmtId="165" fontId="22" fillId="6" borderId="7" xfId="2" applyNumberFormat="1" applyFont="1" applyFill="1" applyBorder="1" applyAlignment="1" applyProtection="1">
      <alignment horizontal="center"/>
      <protection locked="0"/>
    </xf>
    <xf numFmtId="0" fontId="0" fillId="7" borderId="0" xfId="0" applyFill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44" fontId="0" fillId="7" borderId="0" xfId="1" applyFont="1" applyFill="1"/>
    <xf numFmtId="0" fontId="0" fillId="6" borderId="0" xfId="0" applyFill="1"/>
    <xf numFmtId="0" fontId="5" fillId="6" borderId="0" xfId="0" applyFont="1" applyFill="1"/>
    <xf numFmtId="0" fontId="5" fillId="6" borderId="0" xfId="0" applyFont="1" applyFill="1" applyAlignment="1">
      <alignment horizontal="center"/>
    </xf>
    <xf numFmtId="44" fontId="5" fillId="7" borderId="0" xfId="1" applyFont="1" applyFill="1"/>
    <xf numFmtId="44" fontId="5" fillId="7" borderId="0" xfId="1" applyFont="1" applyFill="1" applyAlignment="1">
      <alignment horizontal="center"/>
    </xf>
    <xf numFmtId="165" fontId="5" fillId="7" borderId="0" xfId="2" applyNumberFormat="1" applyFont="1" applyFill="1"/>
    <xf numFmtId="44" fontId="7" fillId="7" borderId="0" xfId="0" applyNumberFormat="1" applyFont="1" applyFill="1" applyAlignment="1">
      <alignment horizontal="center" vertical="center"/>
    </xf>
    <xf numFmtId="164" fontId="5" fillId="7" borderId="0" xfId="2" applyNumberFormat="1" applyFont="1" applyFill="1" applyAlignment="1">
      <alignment horizontal="center" vertical="center"/>
    </xf>
    <xf numFmtId="0" fontId="5" fillId="9" borderId="0" xfId="0" applyFont="1" applyFill="1"/>
    <xf numFmtId="0" fontId="0" fillId="9" borderId="0" xfId="0" applyFill="1"/>
    <xf numFmtId="0" fontId="14" fillId="10" borderId="0" xfId="0" applyFont="1" applyFill="1"/>
    <xf numFmtId="0" fontId="5" fillId="11" borderId="42" xfId="0" applyFont="1" applyFill="1" applyBorder="1"/>
    <xf numFmtId="0" fontId="5" fillId="11" borderId="22" xfId="0" applyFont="1" applyFill="1" applyBorder="1"/>
    <xf numFmtId="0" fontId="14" fillId="12" borderId="22" xfId="0" applyFont="1" applyFill="1" applyBorder="1"/>
    <xf numFmtId="0" fontId="14" fillId="12" borderId="39" xfId="0" applyFont="1" applyFill="1" applyBorder="1"/>
    <xf numFmtId="0" fontId="5" fillId="13" borderId="22" xfId="0" applyFont="1" applyFill="1" applyBorder="1"/>
    <xf numFmtId="0" fontId="14" fillId="15" borderId="38" xfId="0" applyFont="1" applyFill="1" applyBorder="1"/>
    <xf numFmtId="0" fontId="14" fillId="15" borderId="22" xfId="0" applyFont="1" applyFill="1" applyBorder="1"/>
    <xf numFmtId="0" fontId="14" fillId="14" borderId="22" xfId="0" applyFont="1" applyFill="1" applyBorder="1"/>
    <xf numFmtId="0" fontId="14" fillId="14" borderId="39" xfId="0" applyFont="1" applyFill="1" applyBorder="1"/>
    <xf numFmtId="0" fontId="14" fillId="15" borderId="39" xfId="0" applyFont="1" applyFill="1" applyBorder="1"/>
    <xf numFmtId="0" fontId="0" fillId="16" borderId="38" xfId="0" applyFill="1" applyBorder="1"/>
    <xf numFmtId="0" fontId="0" fillId="16" borderId="39" xfId="0" applyFill="1" applyBorder="1"/>
    <xf numFmtId="0" fontId="0" fillId="16" borderId="35" xfId="0" applyFill="1" applyBorder="1"/>
    <xf numFmtId="0" fontId="5" fillId="6" borderId="22" xfId="0" applyFont="1" applyFill="1" applyBorder="1"/>
    <xf numFmtId="0" fontId="4" fillId="17" borderId="0" xfId="0" applyFont="1" applyFill="1"/>
    <xf numFmtId="0" fontId="14" fillId="18" borderId="22" xfId="0" applyFont="1" applyFill="1" applyBorder="1"/>
    <xf numFmtId="0" fontId="14" fillId="18" borderId="22" xfId="0" applyFont="1" applyFill="1" applyBorder="1" applyAlignment="1">
      <alignment vertical="center"/>
    </xf>
    <xf numFmtId="0" fontId="2" fillId="18" borderId="1" xfId="0" applyFont="1" applyFill="1" applyBorder="1"/>
    <xf numFmtId="0" fontId="2" fillId="18" borderId="17" xfId="0" applyFont="1" applyFill="1" applyBorder="1"/>
    <xf numFmtId="0" fontId="14" fillId="19" borderId="22" xfId="0" applyFont="1" applyFill="1" applyBorder="1"/>
    <xf numFmtId="0" fontId="0" fillId="20" borderId="0" xfId="0" applyFill="1"/>
    <xf numFmtId="0" fontId="0" fillId="19" borderId="0" xfId="0" applyFill="1"/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9" borderId="0" xfId="0" applyFont="1" applyFill="1" applyAlignment="1">
      <alignment vertical="center"/>
    </xf>
    <xf numFmtId="0" fontId="2" fillId="21" borderId="0" xfId="0" applyFont="1" applyFill="1"/>
    <xf numFmtId="0" fontId="4" fillId="21" borderId="0" xfId="0" applyFont="1" applyFill="1"/>
    <xf numFmtId="44" fontId="14" fillId="21" borderId="0" xfId="1" applyFont="1" applyFill="1"/>
    <xf numFmtId="44" fontId="4" fillId="21" borderId="0" xfId="1" applyFont="1" applyFill="1"/>
    <xf numFmtId="44" fontId="14" fillId="21" borderId="0" xfId="1" applyFont="1" applyFill="1" applyAlignment="1">
      <alignment horizontal="center"/>
    </xf>
    <xf numFmtId="10" fontId="14" fillId="21" borderId="0" xfId="2" applyNumberFormat="1" applyFont="1" applyFill="1" applyAlignment="1">
      <alignment horizontal="center"/>
    </xf>
    <xf numFmtId="0" fontId="0" fillId="21" borderId="0" xfId="0" applyFill="1"/>
    <xf numFmtId="0" fontId="26" fillId="7" borderId="0" xfId="0" applyFont="1" applyFill="1" applyAlignment="1">
      <alignment vertical="center"/>
    </xf>
    <xf numFmtId="44" fontId="26" fillId="7" borderId="0" xfId="1" applyFont="1" applyFill="1" applyAlignment="1">
      <alignment vertical="center"/>
    </xf>
    <xf numFmtId="44" fontId="26" fillId="7" borderId="0" xfId="1" applyFont="1" applyFill="1" applyAlignment="1" applyProtection="1">
      <alignment vertical="center"/>
      <protection locked="0"/>
    </xf>
    <xf numFmtId="10" fontId="27" fillId="7" borderId="0" xfId="2" applyNumberFormat="1" applyFont="1" applyFill="1" applyAlignment="1">
      <alignment horizontal="center" vertical="center"/>
    </xf>
    <xf numFmtId="0" fontId="19" fillId="7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" fillId="21" borderId="0" xfId="0" applyFont="1" applyFill="1" applyAlignment="1">
      <alignment horizontal="center"/>
    </xf>
    <xf numFmtId="44" fontId="16" fillId="21" borderId="0" xfId="1" applyFont="1" applyFill="1"/>
    <xf numFmtId="44" fontId="14" fillId="15" borderId="0" xfId="2" applyNumberFormat="1" applyFont="1" applyFill="1" applyAlignment="1" applyProtection="1">
      <alignment horizontal="center"/>
      <protection locked="0"/>
    </xf>
    <xf numFmtId="0" fontId="25" fillId="9" borderId="0" xfId="0" applyFont="1" applyFill="1" applyAlignment="1">
      <alignment horizontal="center"/>
    </xf>
    <xf numFmtId="44" fontId="26" fillId="9" borderId="0" xfId="1" applyFont="1" applyFill="1"/>
    <xf numFmtId="44" fontId="32" fillId="9" borderId="0" xfId="1" applyFont="1" applyFill="1"/>
    <xf numFmtId="44" fontId="31" fillId="9" borderId="0" xfId="1" applyFont="1" applyFill="1"/>
    <xf numFmtId="10" fontId="32" fillId="9" borderId="0" xfId="2" applyNumberFormat="1" applyFont="1" applyFill="1" applyAlignment="1">
      <alignment horizontal="center"/>
    </xf>
    <xf numFmtId="44" fontId="14" fillId="22" borderId="0" xfId="1" applyFont="1" applyFill="1" applyProtection="1">
      <protection locked="0"/>
    </xf>
    <xf numFmtId="0" fontId="26" fillId="9" borderId="0" xfId="0" applyFont="1" applyFill="1"/>
    <xf numFmtId="44" fontId="2" fillId="21" borderId="0" xfId="1" applyFont="1" applyFill="1"/>
    <xf numFmtId="44" fontId="14" fillId="22" borderId="0" xfId="2" applyNumberFormat="1" applyFont="1" applyFill="1" applyAlignment="1" applyProtection="1">
      <alignment horizontal="center"/>
      <protection locked="0"/>
    </xf>
    <xf numFmtId="0" fontId="25" fillId="7" borderId="0" xfId="0" applyFont="1" applyFill="1" applyAlignment="1">
      <alignment horizontal="center"/>
    </xf>
    <xf numFmtId="44" fontId="26" fillId="7" borderId="0" xfId="1" applyFont="1" applyFill="1"/>
    <xf numFmtId="0" fontId="31" fillId="7" borderId="0" xfId="0" applyFont="1" applyFill="1"/>
    <xf numFmtId="44" fontId="32" fillId="7" borderId="0" xfId="1" applyFont="1" applyFill="1"/>
    <xf numFmtId="44" fontId="31" fillId="7" borderId="0" xfId="1" applyFont="1" applyFill="1"/>
    <xf numFmtId="44" fontId="25" fillId="7" borderId="0" xfId="1" applyFont="1" applyFill="1"/>
    <xf numFmtId="10" fontId="32" fillId="7" borderId="0" xfId="2" applyNumberFormat="1" applyFont="1" applyFill="1" applyAlignment="1">
      <alignment horizontal="center"/>
    </xf>
    <xf numFmtId="0" fontId="14" fillId="21" borderId="0" xfId="0" applyFont="1" applyFill="1" applyAlignment="1">
      <alignment horizontal="left"/>
    </xf>
    <xf numFmtId="44" fontId="14" fillId="21" borderId="0" xfId="1" applyFont="1" applyFill="1" applyProtection="1">
      <protection locked="0"/>
    </xf>
    <xf numFmtId="0" fontId="28" fillId="8" borderId="0" xfId="0" applyFont="1" applyFill="1" applyAlignment="1">
      <alignment horizontal="center" vertical="center"/>
    </xf>
    <xf numFmtId="44" fontId="28" fillId="8" borderId="0" xfId="1" applyFont="1" applyFill="1" applyAlignment="1">
      <alignment vertical="center"/>
    </xf>
    <xf numFmtId="0" fontId="28" fillId="8" borderId="0" xfId="0" applyFont="1" applyFill="1" applyAlignment="1">
      <alignment vertical="center"/>
    </xf>
    <xf numFmtId="44" fontId="33" fillId="8" borderId="0" xfId="1" applyFont="1" applyFill="1" applyAlignment="1">
      <alignment vertical="center"/>
    </xf>
    <xf numFmtId="10" fontId="28" fillId="8" borderId="0" xfId="2" applyNumberFormat="1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31" fillId="8" borderId="0" xfId="0" applyFont="1" applyFill="1" applyAlignment="1">
      <alignment vertical="center"/>
    </xf>
    <xf numFmtId="0" fontId="4" fillId="21" borderId="0" xfId="0" applyFont="1" applyFill="1" applyAlignment="1">
      <alignment horizontal="center"/>
    </xf>
    <xf numFmtId="49" fontId="14" fillId="21" borderId="0" xfId="0" applyNumberFormat="1" applyFont="1" applyFill="1" applyAlignment="1">
      <alignment horizontal="left"/>
    </xf>
    <xf numFmtId="0" fontId="4" fillId="22" borderId="0" xfId="0" applyFont="1" applyFill="1"/>
    <xf numFmtId="44" fontId="14" fillId="22" borderId="0" xfId="1" applyFont="1" applyFill="1"/>
    <xf numFmtId="44" fontId="16" fillId="22" borderId="0" xfId="1" applyFont="1" applyFill="1"/>
    <xf numFmtId="10" fontId="14" fillId="22" borderId="0" xfId="2" applyNumberFormat="1" applyFont="1" applyFill="1" applyAlignment="1">
      <alignment horizontal="center"/>
    </xf>
    <xf numFmtId="0" fontId="28" fillId="9" borderId="0" xfId="0" applyFont="1" applyFill="1" applyAlignment="1">
      <alignment horizontal="center" vertical="center"/>
    </xf>
    <xf numFmtId="44" fontId="28" fillId="9" borderId="0" xfId="1" applyFont="1" applyFill="1" applyAlignment="1">
      <alignment vertical="center"/>
    </xf>
    <xf numFmtId="0" fontId="29" fillId="9" borderId="0" xfId="0" applyFont="1" applyFill="1" applyAlignment="1">
      <alignment vertical="center"/>
    </xf>
    <xf numFmtId="44" fontId="29" fillId="9" borderId="0" xfId="1" applyFont="1" applyFill="1" applyAlignment="1">
      <alignment vertical="center"/>
    </xf>
    <xf numFmtId="10" fontId="29" fillId="9" borderId="0" xfId="2" applyNumberFormat="1" applyFont="1" applyFill="1" applyAlignment="1">
      <alignment horizontal="center" vertical="center"/>
    </xf>
    <xf numFmtId="0" fontId="30" fillId="9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0" fontId="0" fillId="9" borderId="0" xfId="0" applyFont="1" applyFill="1"/>
    <xf numFmtId="44" fontId="14" fillId="10" borderId="0" xfId="1" applyFont="1" applyFill="1"/>
    <xf numFmtId="10" fontId="14" fillId="10" borderId="0" xfId="2" applyNumberFormat="1" applyFont="1" applyFill="1" applyAlignment="1">
      <alignment horizontal="center"/>
    </xf>
    <xf numFmtId="0" fontId="14" fillId="12" borderId="0" xfId="0" applyFont="1" applyFill="1"/>
    <xf numFmtId="0" fontId="4" fillId="12" borderId="0" xfId="0" applyFont="1" applyFill="1"/>
    <xf numFmtId="10" fontId="14" fillId="12" borderId="0" xfId="2" applyNumberFormat="1" applyFont="1" applyFill="1" applyAlignment="1">
      <alignment horizontal="center"/>
    </xf>
    <xf numFmtId="10" fontId="5" fillId="9" borderId="0" xfId="2" applyNumberFormat="1" applyFont="1" applyFill="1" applyAlignment="1">
      <alignment horizontal="center"/>
    </xf>
    <xf numFmtId="0" fontId="14" fillId="15" borderId="0" xfId="0" applyFont="1" applyFill="1"/>
    <xf numFmtId="0" fontId="4" fillId="15" borderId="0" xfId="0" applyFont="1" applyFill="1"/>
    <xf numFmtId="10" fontId="14" fillId="15" borderId="0" xfId="2" applyNumberFormat="1" applyFont="1" applyFill="1" applyAlignment="1">
      <alignment horizontal="center"/>
    </xf>
    <xf numFmtId="0" fontId="14" fillId="18" borderId="0" xfId="0" applyFont="1" applyFill="1"/>
    <xf numFmtId="0" fontId="4" fillId="18" borderId="0" xfId="0" applyFont="1" applyFill="1"/>
    <xf numFmtId="10" fontId="14" fillId="18" borderId="0" xfId="2" applyNumberFormat="1" applyFont="1" applyFill="1" applyAlignment="1">
      <alignment horizontal="center"/>
    </xf>
    <xf numFmtId="0" fontId="0" fillId="6" borderId="0" xfId="0" applyFont="1" applyFill="1"/>
    <xf numFmtId="10" fontId="5" fillId="6" borderId="0" xfId="2" applyNumberFormat="1" applyFont="1" applyFill="1" applyAlignment="1">
      <alignment horizontal="center"/>
    </xf>
    <xf numFmtId="44" fontId="28" fillId="8" borderId="0" xfId="1" applyNumberFormat="1" applyFont="1" applyFill="1" applyAlignment="1">
      <alignment vertical="center"/>
    </xf>
    <xf numFmtId="10" fontId="14" fillId="21" borderId="0" xfId="1" applyNumberFormat="1" applyFont="1" applyFill="1"/>
    <xf numFmtId="44" fontId="28" fillId="8" borderId="0" xfId="1" applyFont="1" applyFill="1" applyAlignment="1">
      <alignment horizontal="right" vertical="center"/>
    </xf>
    <xf numFmtId="10" fontId="14" fillId="9" borderId="0" xfId="2" applyNumberFormat="1" applyFont="1" applyFill="1" applyAlignment="1">
      <alignment horizontal="center"/>
    </xf>
    <xf numFmtId="10" fontId="14" fillId="7" borderId="0" xfId="2" applyNumberFormat="1" applyFont="1" applyFill="1" applyAlignment="1">
      <alignment horizontal="center"/>
    </xf>
    <xf numFmtId="44" fontId="12" fillId="2" borderId="11" xfId="1" applyFont="1" applyFill="1" applyBorder="1" applyAlignment="1">
      <alignment horizontal="center" vertical="center" wrapText="1"/>
    </xf>
    <xf numFmtId="44" fontId="17" fillId="2" borderId="11" xfId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top"/>
    </xf>
    <xf numFmtId="164" fontId="5" fillId="6" borderId="0" xfId="2" applyNumberFormat="1" applyFont="1" applyFill="1" applyAlignment="1">
      <alignment horizontal="center"/>
    </xf>
    <xf numFmtId="44" fontId="5" fillId="6" borderId="0" xfId="1" applyFont="1" applyFill="1"/>
    <xf numFmtId="165" fontId="5" fillId="6" borderId="0" xfId="2" applyNumberFormat="1" applyFont="1" applyFill="1" applyAlignment="1">
      <alignment horizontal="center"/>
    </xf>
    <xf numFmtId="0" fontId="5" fillId="6" borderId="0" xfId="0" applyFont="1" applyFill="1" applyAlignment="1">
      <alignment horizontal="right"/>
    </xf>
    <xf numFmtId="44" fontId="0" fillId="6" borderId="0" xfId="0" applyNumberFormat="1" applyFill="1"/>
    <xf numFmtId="0" fontId="7" fillId="6" borderId="0" xfId="0" applyFont="1" applyFill="1" applyAlignment="1">
      <alignment horizontal="center"/>
    </xf>
    <xf numFmtId="9" fontId="8" fillId="6" borderId="0" xfId="2" applyFont="1" applyFill="1" applyAlignment="1">
      <alignment horizontal="right" vertical="center"/>
    </xf>
    <xf numFmtId="10" fontId="8" fillId="6" borderId="0" xfId="2" applyNumberFormat="1" applyFont="1" applyFill="1" applyAlignment="1">
      <alignment vertical="center"/>
    </xf>
    <xf numFmtId="164" fontId="9" fillId="6" borderId="1" xfId="2" applyNumberFormat="1" applyFont="1" applyFill="1" applyBorder="1"/>
    <xf numFmtId="9" fontId="7" fillId="6" borderId="1" xfId="2" applyFont="1" applyFill="1" applyBorder="1" applyAlignment="1">
      <alignment horizontal="center" vertical="center"/>
    </xf>
    <xf numFmtId="164" fontId="8" fillId="6" borderId="0" xfId="2" applyNumberFormat="1" applyFont="1" applyFill="1" applyAlignment="1">
      <alignment horizontal="center"/>
    </xf>
    <xf numFmtId="44" fontId="3" fillId="6" borderId="0" xfId="1" applyFont="1" applyFill="1"/>
    <xf numFmtId="0" fontId="11" fillId="6" borderId="0" xfId="0" applyFont="1" applyFill="1" applyAlignment="1">
      <alignment horizontal="center" vertical="center"/>
    </xf>
    <xf numFmtId="0" fontId="19" fillId="6" borderId="0" xfId="0" applyFont="1" applyFill="1"/>
    <xf numFmtId="0" fontId="11" fillId="6" borderId="0" xfId="0" applyFont="1" applyFill="1"/>
    <xf numFmtId="44" fontId="19" fillId="6" borderId="0" xfId="1" applyFont="1" applyFill="1"/>
    <xf numFmtId="164" fontId="19" fillId="6" borderId="0" xfId="2" applyNumberFormat="1" applyFont="1" applyFill="1" applyAlignment="1">
      <alignment horizontal="center"/>
    </xf>
    <xf numFmtId="44" fontId="5" fillId="6" borderId="0" xfId="1" applyFont="1" applyFill="1" applyAlignment="1">
      <alignment horizontal="center"/>
    </xf>
    <xf numFmtId="165" fontId="5" fillId="6" borderId="0" xfId="2" applyNumberFormat="1" applyFont="1" applyFill="1"/>
    <xf numFmtId="0" fontId="0" fillId="6" borderId="2" xfId="0" applyFill="1" applyBorder="1"/>
    <xf numFmtId="0" fontId="0" fillId="6" borderId="0" xfId="0" applyFill="1" applyAlignment="1">
      <alignment horizontal="center" vertical="center" textRotation="90"/>
    </xf>
    <xf numFmtId="44" fontId="0" fillId="6" borderId="0" xfId="1" applyFont="1" applyFill="1"/>
    <xf numFmtId="0" fontId="5" fillId="6" borderId="7" xfId="0" applyFont="1" applyFill="1" applyBorder="1"/>
    <xf numFmtId="10" fontId="5" fillId="6" borderId="7" xfId="2" applyNumberFormat="1" applyFont="1" applyFill="1" applyBorder="1" applyAlignment="1">
      <alignment horizontal="left"/>
    </xf>
    <xf numFmtId="44" fontId="5" fillId="6" borderId="7" xfId="1" applyFont="1" applyFill="1" applyBorder="1"/>
    <xf numFmtId="0" fontId="0" fillId="6" borderId="7" xfId="0" applyFill="1" applyBorder="1"/>
    <xf numFmtId="164" fontId="5" fillId="6" borderId="7" xfId="2" applyNumberFormat="1" applyFont="1" applyFill="1" applyBorder="1" applyAlignment="1">
      <alignment horizontal="center"/>
    </xf>
    <xf numFmtId="0" fontId="0" fillId="6" borderId="3" xfId="0" applyFill="1" applyBorder="1"/>
    <xf numFmtId="164" fontId="5" fillId="6" borderId="3" xfId="2" applyNumberFormat="1" applyFont="1" applyFill="1" applyBorder="1" applyAlignment="1">
      <alignment horizontal="center"/>
    </xf>
    <xf numFmtId="44" fontId="5" fillId="6" borderId="3" xfId="1" applyFont="1" applyFill="1" applyBorder="1"/>
    <xf numFmtId="44" fontId="0" fillId="6" borderId="4" xfId="1" applyFont="1" applyFill="1" applyBorder="1"/>
    <xf numFmtId="44" fontId="0" fillId="6" borderId="6" xfId="1" applyFont="1" applyFill="1" applyBorder="1"/>
    <xf numFmtId="0" fontId="0" fillId="6" borderId="14" xfId="0" applyFill="1" applyBorder="1"/>
    <xf numFmtId="164" fontId="5" fillId="6" borderId="14" xfId="2" applyNumberFormat="1" applyFont="1" applyFill="1" applyBorder="1" applyAlignment="1">
      <alignment horizontal="center"/>
    </xf>
    <xf numFmtId="44" fontId="5" fillId="6" borderId="14" xfId="1" applyFont="1" applyFill="1" applyBorder="1"/>
    <xf numFmtId="44" fontId="0" fillId="6" borderId="21" xfId="1" applyFont="1" applyFill="1" applyBorder="1"/>
    <xf numFmtId="164" fontId="5" fillId="6" borderId="0" xfId="0" applyNumberFormat="1" applyFont="1" applyFill="1" applyAlignment="1">
      <alignment horizontal="right"/>
    </xf>
    <xf numFmtId="165" fontId="5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right"/>
    </xf>
    <xf numFmtId="44" fontId="5" fillId="6" borderId="0" xfId="1" applyFont="1" applyFill="1" applyAlignment="1">
      <alignment horizontal="right"/>
    </xf>
    <xf numFmtId="44" fontId="0" fillId="6" borderId="14" xfId="1" applyFont="1" applyFill="1" applyBorder="1"/>
    <xf numFmtId="49" fontId="4" fillId="6" borderId="0" xfId="0" applyNumberFormat="1" applyFont="1" applyFill="1" applyAlignment="1">
      <alignment horizontal="center"/>
    </xf>
    <xf numFmtId="49" fontId="23" fillId="23" borderId="0" xfId="0" applyNumberFormat="1" applyFont="1" applyFill="1" applyAlignment="1">
      <alignment horizontal="center"/>
    </xf>
    <xf numFmtId="10" fontId="5" fillId="6" borderId="7" xfId="2" applyNumberFormat="1" applyFont="1" applyFill="1" applyBorder="1" applyAlignment="1">
      <alignment horizontal="center"/>
    </xf>
    <xf numFmtId="44" fontId="0" fillId="6" borderId="7" xfId="1" applyFont="1" applyFill="1" applyBorder="1"/>
    <xf numFmtId="49" fontId="4" fillId="6" borderId="14" xfId="0" applyNumberFormat="1" applyFont="1" applyFill="1" applyBorder="1" applyAlignment="1">
      <alignment horizontal="center"/>
    </xf>
    <xf numFmtId="49" fontId="4" fillId="6" borderId="3" xfId="0" applyNumberFormat="1" applyFont="1" applyFill="1" applyBorder="1" applyAlignment="1">
      <alignment horizontal="center"/>
    </xf>
    <xf numFmtId="49" fontId="4" fillId="6" borderId="0" xfId="0" applyNumberFormat="1" applyFont="1" applyFill="1"/>
    <xf numFmtId="10" fontId="22" fillId="6" borderId="0" xfId="2" applyNumberFormat="1" applyFont="1" applyFill="1" applyAlignment="1">
      <alignment horizontal="center"/>
    </xf>
    <xf numFmtId="10" fontId="5" fillId="6" borderId="0" xfId="0" applyNumberFormat="1" applyFont="1" applyFill="1" applyAlignment="1">
      <alignment horizontal="center"/>
    </xf>
    <xf numFmtId="0" fontId="5" fillId="6" borderId="7" xfId="0" applyFont="1" applyFill="1" applyBorder="1" applyAlignment="1">
      <alignment horizontal="left"/>
    </xf>
    <xf numFmtId="166" fontId="0" fillId="6" borderId="7" xfId="0" applyNumberFormat="1" applyFill="1" applyBorder="1"/>
    <xf numFmtId="0" fontId="14" fillId="21" borderId="0" xfId="0" applyFont="1" applyFill="1"/>
    <xf numFmtId="0" fontId="14" fillId="21" borderId="0" xfId="0" applyFont="1" applyFill="1" applyAlignment="1">
      <alignment horizontal="center"/>
    </xf>
    <xf numFmtId="44" fontId="15" fillId="21" borderId="0" xfId="0" applyNumberFormat="1" applyFont="1" applyFill="1" applyAlignment="1">
      <alignment vertical="center"/>
    </xf>
    <xf numFmtId="165" fontId="14" fillId="21" borderId="0" xfId="2" applyNumberFormat="1" applyFont="1" applyFill="1"/>
    <xf numFmtId="0" fontId="0" fillId="16" borderId="0" xfId="0" applyFill="1"/>
    <xf numFmtId="44" fontId="16" fillId="16" borderId="0" xfId="1" applyFont="1" applyFill="1"/>
    <xf numFmtId="10" fontId="14" fillId="16" borderId="0" xfId="2" applyNumberFormat="1" applyFont="1" applyFill="1" applyAlignment="1">
      <alignment horizontal="center"/>
    </xf>
    <xf numFmtId="0" fontId="0" fillId="24" borderId="0" xfId="0" applyFill="1"/>
    <xf numFmtId="0" fontId="5" fillId="24" borderId="0" xfId="0" applyFont="1" applyFill="1"/>
    <xf numFmtId="0" fontId="5" fillId="24" borderId="0" xfId="0" applyFont="1" applyFill="1" applyAlignment="1">
      <alignment horizontal="center"/>
    </xf>
    <xf numFmtId="49" fontId="23" fillId="25" borderId="0" xfId="0" applyNumberFormat="1" applyFont="1" applyFill="1" applyAlignment="1">
      <alignment horizontal="center"/>
    </xf>
    <xf numFmtId="44" fontId="0" fillId="24" borderId="0" xfId="1" applyFont="1" applyFill="1"/>
    <xf numFmtId="44" fontId="5" fillId="24" borderId="0" xfId="1" applyFont="1" applyFill="1"/>
    <xf numFmtId="44" fontId="5" fillId="24" borderId="0" xfId="1" applyFont="1" applyFill="1" applyAlignment="1">
      <alignment horizontal="center"/>
    </xf>
    <xf numFmtId="165" fontId="5" fillId="24" borderId="0" xfId="2" applyNumberFormat="1" applyFont="1" applyFill="1"/>
    <xf numFmtId="0" fontId="5" fillId="24" borderId="3" xfId="0" applyFont="1" applyFill="1" applyBorder="1"/>
    <xf numFmtId="0" fontId="5" fillId="24" borderId="3" xfId="0" applyFont="1" applyFill="1" applyBorder="1" applyAlignment="1">
      <alignment horizontal="center"/>
    </xf>
    <xf numFmtId="0" fontId="0" fillId="24" borderId="3" xfId="0" applyFill="1" applyBorder="1"/>
    <xf numFmtId="164" fontId="5" fillId="24" borderId="3" xfId="2" applyNumberFormat="1" applyFont="1" applyFill="1" applyBorder="1" applyAlignment="1">
      <alignment horizontal="center"/>
    </xf>
    <xf numFmtId="44" fontId="5" fillId="24" borderId="3" xfId="1" applyFont="1" applyFill="1" applyBorder="1" applyAlignment="1">
      <alignment horizontal="center"/>
    </xf>
    <xf numFmtId="44" fontId="0" fillId="24" borderId="4" xfId="1" applyFont="1" applyFill="1" applyBorder="1"/>
    <xf numFmtId="164" fontId="5" fillId="24" borderId="0" xfId="2" applyNumberFormat="1" applyFont="1" applyFill="1" applyAlignment="1">
      <alignment horizontal="center"/>
    </xf>
    <xf numFmtId="44" fontId="0" fillId="24" borderId="6" xfId="1" applyFont="1" applyFill="1" applyBorder="1"/>
    <xf numFmtId="0" fontId="22" fillId="24" borderId="37" xfId="0" applyFont="1" applyFill="1" applyBorder="1"/>
    <xf numFmtId="0" fontId="5" fillId="24" borderId="27" xfId="0" applyFont="1" applyFill="1" applyBorder="1"/>
    <xf numFmtId="9" fontId="5" fillId="24" borderId="27" xfId="2" applyFont="1" applyFill="1" applyBorder="1" applyAlignment="1">
      <alignment horizontal="center"/>
    </xf>
    <xf numFmtId="0" fontId="22" fillId="24" borderId="27" xfId="0" applyFont="1" applyFill="1" applyBorder="1"/>
    <xf numFmtId="44" fontId="22" fillId="24" borderId="38" xfId="0" applyNumberFormat="1" applyFont="1" applyFill="1" applyBorder="1"/>
    <xf numFmtId="0" fontId="5" fillId="24" borderId="15" xfId="0" applyFont="1" applyFill="1" applyBorder="1"/>
    <xf numFmtId="0" fontId="5" fillId="24" borderId="1" xfId="0" applyFont="1" applyFill="1" applyBorder="1"/>
    <xf numFmtId="0" fontId="0" fillId="24" borderId="1" xfId="0" applyFill="1" applyBorder="1"/>
    <xf numFmtId="10" fontId="5" fillId="24" borderId="35" xfId="2" applyNumberFormat="1" applyFont="1" applyFill="1" applyBorder="1" applyAlignment="1">
      <alignment horizontal="center"/>
    </xf>
    <xf numFmtId="0" fontId="5" fillId="24" borderId="36" xfId="0" applyFont="1" applyFill="1" applyBorder="1"/>
    <xf numFmtId="44" fontId="5" fillId="24" borderId="39" xfId="1" applyFont="1" applyFill="1" applyBorder="1"/>
    <xf numFmtId="0" fontId="22" fillId="24" borderId="15" xfId="0" applyFont="1" applyFill="1" applyBorder="1"/>
    <xf numFmtId="44" fontId="22" fillId="24" borderId="35" xfId="1" applyFont="1" applyFill="1" applyBorder="1" applyAlignment="1">
      <alignment horizontal="center"/>
    </xf>
    <xf numFmtId="164" fontId="5" fillId="24" borderId="7" xfId="2" applyNumberFormat="1" applyFont="1" applyFill="1" applyBorder="1" applyAlignment="1">
      <alignment horizontal="center"/>
    </xf>
    <xf numFmtId="164" fontId="1" fillId="24" borderId="7" xfId="2" applyNumberFormat="1" applyFill="1" applyBorder="1" applyAlignment="1">
      <alignment horizontal="left"/>
    </xf>
    <xf numFmtId="0" fontId="0" fillId="24" borderId="7" xfId="0" applyFill="1" applyBorder="1"/>
    <xf numFmtId="44" fontId="5" fillId="24" borderId="7" xfId="1" applyFont="1" applyFill="1" applyBorder="1" applyAlignment="1">
      <alignment horizontal="center"/>
    </xf>
    <xf numFmtId="166" fontId="0" fillId="24" borderId="7" xfId="0" applyNumberFormat="1" applyFill="1" applyBorder="1"/>
    <xf numFmtId="0" fontId="5" fillId="24" borderId="14" xfId="0" applyFont="1" applyFill="1" applyBorder="1"/>
    <xf numFmtId="0" fontId="5" fillId="24" borderId="14" xfId="0" applyFont="1" applyFill="1" applyBorder="1" applyAlignment="1">
      <alignment horizontal="center"/>
    </xf>
    <xf numFmtId="0" fontId="0" fillId="24" borderId="14" xfId="0" applyFill="1" applyBorder="1"/>
    <xf numFmtId="164" fontId="5" fillId="24" borderId="14" xfId="2" applyNumberFormat="1" applyFont="1" applyFill="1" applyBorder="1" applyAlignment="1">
      <alignment horizontal="center"/>
    </xf>
    <xf numFmtId="44" fontId="5" fillId="24" borderId="14" xfId="1" applyFont="1" applyFill="1" applyBorder="1"/>
    <xf numFmtId="44" fontId="0" fillId="24" borderId="21" xfId="1" applyFont="1" applyFill="1" applyBorder="1"/>
    <xf numFmtId="44" fontId="5" fillId="24" borderId="0" xfId="0" applyNumberFormat="1" applyFont="1" applyFill="1"/>
    <xf numFmtId="0" fontId="5" fillId="9" borderId="3" xfId="0" applyFont="1" applyFill="1" applyBorder="1"/>
    <xf numFmtId="0" fontId="5" fillId="9" borderId="3" xfId="0" applyFont="1" applyFill="1" applyBorder="1" applyAlignment="1">
      <alignment horizontal="center"/>
    </xf>
    <xf numFmtId="0" fontId="0" fillId="9" borderId="3" xfId="0" applyFill="1" applyBorder="1"/>
    <xf numFmtId="164" fontId="5" fillId="9" borderId="3" xfId="2" applyNumberFormat="1" applyFont="1" applyFill="1" applyBorder="1" applyAlignment="1">
      <alignment horizontal="center"/>
    </xf>
    <xf numFmtId="44" fontId="5" fillId="9" borderId="3" xfId="1" applyFont="1" applyFill="1" applyBorder="1" applyAlignment="1">
      <alignment horizontal="center"/>
    </xf>
    <xf numFmtId="44" fontId="0" fillId="9" borderId="4" xfId="1" applyFont="1" applyFill="1" applyBorder="1"/>
    <xf numFmtId="0" fontId="5" fillId="9" borderId="0" xfId="0" applyFont="1" applyFill="1" applyAlignment="1">
      <alignment horizontal="center"/>
    </xf>
    <xf numFmtId="164" fontId="5" fillId="9" borderId="0" xfId="2" applyNumberFormat="1" applyFont="1" applyFill="1" applyAlignment="1">
      <alignment horizontal="center"/>
    </xf>
    <xf numFmtId="44" fontId="5" fillId="9" borderId="0" xfId="1" applyFont="1" applyFill="1" applyAlignment="1">
      <alignment horizontal="center"/>
    </xf>
    <xf numFmtId="44" fontId="0" fillId="9" borderId="6" xfId="1" applyFont="1" applyFill="1" applyBorder="1"/>
    <xf numFmtId="0" fontId="22" fillId="9" borderId="37" xfId="0" applyFont="1" applyFill="1" applyBorder="1"/>
    <xf numFmtId="0" fontId="5" fillId="9" borderId="27" xfId="0" applyFont="1" applyFill="1" applyBorder="1"/>
    <xf numFmtId="0" fontId="5" fillId="9" borderId="17" xfId="0" applyFont="1" applyFill="1" applyBorder="1"/>
    <xf numFmtId="44" fontId="22" fillId="9" borderId="22" xfId="0" applyNumberFormat="1" applyFont="1" applyFill="1" applyBorder="1"/>
    <xf numFmtId="44" fontId="0" fillId="9" borderId="0" xfId="1" applyFont="1" applyFill="1" applyAlignment="1">
      <alignment horizontal="center"/>
    </xf>
    <xf numFmtId="0" fontId="5" fillId="9" borderId="36" xfId="0" applyFont="1" applyFill="1" applyBorder="1"/>
    <xf numFmtId="0" fontId="0" fillId="9" borderId="27" xfId="0" applyFill="1" applyBorder="1"/>
    <xf numFmtId="10" fontId="37" fillId="9" borderId="0" xfId="2" applyNumberFormat="1" applyFont="1" applyFill="1" applyAlignment="1">
      <alignment horizontal="right"/>
    </xf>
    <xf numFmtId="44" fontId="5" fillId="9" borderId="39" xfId="1" applyFont="1" applyFill="1" applyBorder="1"/>
    <xf numFmtId="0" fontId="5" fillId="9" borderId="37" xfId="0" applyFont="1" applyFill="1" applyBorder="1"/>
    <xf numFmtId="9" fontId="37" fillId="9" borderId="27" xfId="2" applyFont="1" applyFill="1" applyBorder="1" applyAlignment="1">
      <alignment horizontal="center"/>
    </xf>
    <xf numFmtId="44" fontId="12" fillId="9" borderId="38" xfId="0" applyNumberFormat="1" applyFont="1" applyFill="1" applyBorder="1" applyAlignment="1">
      <alignment horizontal="right"/>
    </xf>
    <xf numFmtId="10" fontId="5" fillId="9" borderId="0" xfId="0" applyNumberFormat="1" applyFont="1" applyFill="1" applyAlignment="1">
      <alignment horizontal="center"/>
    </xf>
    <xf numFmtId="10" fontId="14" fillId="9" borderId="35" xfId="2" applyNumberFormat="1" applyFont="1" applyFill="1" applyBorder="1" applyAlignment="1">
      <alignment horizontal="center"/>
    </xf>
    <xf numFmtId="9" fontId="14" fillId="9" borderId="38" xfId="2" applyFont="1" applyFill="1" applyBorder="1" applyAlignment="1">
      <alignment horizontal="center"/>
    </xf>
    <xf numFmtId="0" fontId="22" fillId="9" borderId="15" xfId="0" applyFont="1" applyFill="1" applyBorder="1"/>
    <xf numFmtId="0" fontId="22" fillId="9" borderId="1" xfId="0" applyFont="1" applyFill="1" applyBorder="1"/>
    <xf numFmtId="10" fontId="22" fillId="9" borderId="35" xfId="0" applyNumberFormat="1" applyFont="1" applyFill="1" applyBorder="1" applyAlignment="1">
      <alignment horizontal="center"/>
    </xf>
    <xf numFmtId="0" fontId="22" fillId="9" borderId="27" xfId="0" applyFont="1" applyFill="1" applyBorder="1"/>
    <xf numFmtId="44" fontId="22" fillId="9" borderId="38" xfId="1" applyFont="1" applyFill="1" applyBorder="1" applyAlignment="1">
      <alignment horizontal="center"/>
    </xf>
    <xf numFmtId="49" fontId="23" fillId="27" borderId="0" xfId="0" applyNumberFormat="1" applyFont="1" applyFill="1" applyAlignment="1">
      <alignment horizontal="center"/>
    </xf>
    <xf numFmtId="164" fontId="1" fillId="9" borderId="0" xfId="2" applyNumberFormat="1" applyFill="1" applyAlignment="1">
      <alignment horizontal="left"/>
    </xf>
    <xf numFmtId="166" fontId="0" fillId="9" borderId="0" xfId="0" applyNumberFormat="1" applyFill="1"/>
    <xf numFmtId="44" fontId="22" fillId="9" borderId="35" xfId="1" applyFont="1" applyFill="1" applyBorder="1" applyAlignment="1">
      <alignment horizontal="center"/>
    </xf>
    <xf numFmtId="44" fontId="22" fillId="9" borderId="35" xfId="0" applyNumberFormat="1" applyFont="1" applyFill="1" applyBorder="1" applyAlignment="1">
      <alignment horizontal="center"/>
    </xf>
    <xf numFmtId="164" fontId="5" fillId="9" borderId="7" xfId="2" applyNumberFormat="1" applyFont="1" applyFill="1" applyBorder="1" applyAlignment="1">
      <alignment horizontal="center"/>
    </xf>
    <xf numFmtId="164" fontId="1" fillId="9" borderId="7" xfId="2" applyNumberFormat="1" applyFill="1" applyBorder="1" applyAlignment="1">
      <alignment horizontal="left"/>
    </xf>
    <xf numFmtId="0" fontId="0" fillId="9" borderId="7" xfId="0" applyFill="1" applyBorder="1"/>
    <xf numFmtId="44" fontId="5" fillId="9" borderId="7" xfId="1" applyFont="1" applyFill="1" applyBorder="1" applyAlignment="1">
      <alignment horizontal="center"/>
    </xf>
    <xf numFmtId="166" fontId="0" fillId="9" borderId="7" xfId="0" applyNumberFormat="1" applyFill="1" applyBorder="1"/>
    <xf numFmtId="0" fontId="5" fillId="9" borderId="14" xfId="0" applyFont="1" applyFill="1" applyBorder="1"/>
    <xf numFmtId="0" fontId="5" fillId="9" borderId="14" xfId="0" applyFont="1" applyFill="1" applyBorder="1" applyAlignment="1">
      <alignment horizontal="center"/>
    </xf>
    <xf numFmtId="0" fontId="0" fillId="9" borderId="14" xfId="0" applyFill="1" applyBorder="1"/>
    <xf numFmtId="164" fontId="5" fillId="9" borderId="14" xfId="2" applyNumberFormat="1" applyFont="1" applyFill="1" applyBorder="1" applyAlignment="1">
      <alignment horizontal="center"/>
    </xf>
    <xf numFmtId="44" fontId="5" fillId="9" borderId="14" xfId="1" applyFont="1" applyFill="1" applyBorder="1"/>
    <xf numFmtId="44" fontId="0" fillId="9" borderId="21" xfId="1" applyFont="1" applyFill="1" applyBorder="1"/>
    <xf numFmtId="0" fontId="12" fillId="9" borderId="38" xfId="0" applyFont="1" applyFill="1" applyBorder="1" applyAlignment="1">
      <alignment horizontal="right"/>
    </xf>
    <xf numFmtId="165" fontId="14" fillId="9" borderId="35" xfId="2" applyNumberFormat="1" applyFont="1" applyFill="1" applyBorder="1" applyAlignment="1">
      <alignment horizontal="center"/>
    </xf>
    <xf numFmtId="0" fontId="5" fillId="9" borderId="15" xfId="0" applyFont="1" applyFill="1" applyBorder="1"/>
    <xf numFmtId="0" fontId="5" fillId="9" borderId="1" xfId="0" applyFont="1" applyFill="1" applyBorder="1"/>
    <xf numFmtId="166" fontId="5" fillId="9" borderId="35" xfId="0" applyNumberFormat="1" applyFont="1" applyFill="1" applyBorder="1"/>
    <xf numFmtId="0" fontId="36" fillId="9" borderId="37" xfId="0" applyFont="1" applyFill="1" applyBorder="1"/>
    <xf numFmtId="0" fontId="37" fillId="9" borderId="27" xfId="0" applyFont="1" applyFill="1" applyBorder="1"/>
    <xf numFmtId="0" fontId="37" fillId="9" borderId="27" xfId="0" applyFont="1" applyFill="1" applyBorder="1" applyAlignment="1">
      <alignment horizontal="left"/>
    </xf>
    <xf numFmtId="44" fontId="36" fillId="9" borderId="22" xfId="0" applyNumberFormat="1" applyFont="1" applyFill="1" applyBorder="1"/>
    <xf numFmtId="0" fontId="5" fillId="9" borderId="48" xfId="0" applyFont="1" applyFill="1" applyBorder="1"/>
    <xf numFmtId="0" fontId="5" fillId="9" borderId="7" xfId="0" applyFont="1" applyFill="1" applyBorder="1"/>
    <xf numFmtId="9" fontId="37" fillId="9" borderId="7" xfId="2" applyFont="1" applyFill="1" applyBorder="1" applyAlignment="1">
      <alignment horizontal="center"/>
    </xf>
    <xf numFmtId="166" fontId="5" fillId="9" borderId="50" xfId="0" applyNumberFormat="1" applyFont="1" applyFill="1" applyBorder="1"/>
    <xf numFmtId="0" fontId="5" fillId="9" borderId="44" xfId="0" applyFont="1" applyFill="1" applyBorder="1"/>
    <xf numFmtId="0" fontId="5" fillId="9" borderId="51" xfId="0" applyFont="1" applyFill="1" applyBorder="1"/>
    <xf numFmtId="44" fontId="5" fillId="9" borderId="45" xfId="0" applyNumberFormat="1" applyFont="1" applyFill="1" applyBorder="1"/>
    <xf numFmtId="0" fontId="5" fillId="9" borderId="46" xfId="0" applyFont="1" applyFill="1" applyBorder="1"/>
    <xf numFmtId="0" fontId="37" fillId="9" borderId="7" xfId="0" applyFont="1" applyFill="1" applyBorder="1"/>
    <xf numFmtId="10" fontId="37" fillId="9" borderId="7" xfId="2" applyNumberFormat="1" applyFont="1" applyFill="1" applyBorder="1" applyAlignment="1">
      <alignment horizontal="right"/>
    </xf>
    <xf numFmtId="10" fontId="37" fillId="9" borderId="7" xfId="2" applyNumberFormat="1" applyFont="1" applyFill="1" applyBorder="1" applyAlignment="1">
      <alignment horizontal="center"/>
    </xf>
    <xf numFmtId="44" fontId="37" fillId="9" borderId="47" xfId="1" applyFont="1" applyFill="1" applyBorder="1"/>
    <xf numFmtId="0" fontId="0" fillId="9" borderId="51" xfId="0" applyFill="1" applyBorder="1"/>
    <xf numFmtId="0" fontId="5" fillId="9" borderId="13" xfId="0" applyFont="1" applyFill="1" applyBorder="1"/>
    <xf numFmtId="0" fontId="12" fillId="9" borderId="52" xfId="0" applyFont="1" applyFill="1" applyBorder="1" applyAlignment="1">
      <alignment horizontal="right"/>
    </xf>
    <xf numFmtId="165" fontId="14" fillId="9" borderId="29" xfId="2" applyNumberFormat="1" applyFont="1" applyFill="1" applyBorder="1" applyAlignment="1">
      <alignment horizontal="center"/>
    </xf>
    <xf numFmtId="165" fontId="22" fillId="9" borderId="49" xfId="2" applyNumberFormat="1" applyFont="1" applyFill="1" applyBorder="1" applyAlignment="1" applyProtection="1">
      <alignment horizontal="center"/>
      <protection locked="0"/>
    </xf>
    <xf numFmtId="0" fontId="0" fillId="9" borderId="1" xfId="0" applyFill="1" applyBorder="1"/>
    <xf numFmtId="44" fontId="5" fillId="9" borderId="35" xfId="1" applyFont="1" applyFill="1" applyBorder="1"/>
    <xf numFmtId="0" fontId="5" fillId="9" borderId="0" xfId="0" applyFont="1" applyFill="1" applyAlignment="1">
      <alignment horizontal="right"/>
    </xf>
    <xf numFmtId="0" fontId="5" fillId="9" borderId="1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49" fontId="5" fillId="24" borderId="0" xfId="0" applyNumberFormat="1" applyFont="1" applyFill="1" applyAlignment="1">
      <alignment horizontal="center"/>
    </xf>
    <xf numFmtId="165" fontId="5" fillId="24" borderId="0" xfId="2" applyNumberFormat="1" applyFont="1" applyFill="1" applyAlignment="1">
      <alignment horizontal="center"/>
    </xf>
    <xf numFmtId="0" fontId="19" fillId="8" borderId="0" xfId="0" applyFont="1" applyFill="1" applyAlignment="1">
      <alignment vertical="center"/>
    </xf>
    <xf numFmtId="0" fontId="19" fillId="8" borderId="0" xfId="0" applyFont="1" applyFill="1" applyAlignment="1">
      <alignment horizontal="center" vertical="center"/>
    </xf>
    <xf numFmtId="44" fontId="19" fillId="8" borderId="0" xfId="0" applyNumberFormat="1" applyFont="1" applyFill="1" applyAlignment="1">
      <alignment vertical="center"/>
    </xf>
    <xf numFmtId="49" fontId="19" fillId="8" borderId="0" xfId="0" applyNumberFormat="1" applyFont="1" applyFill="1" applyAlignment="1">
      <alignment horizontal="center" vertical="center"/>
    </xf>
    <xf numFmtId="165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44" fontId="7" fillId="8" borderId="0" xfId="0" applyNumberFormat="1" applyFont="1" applyFill="1" applyAlignment="1">
      <alignment vertical="center"/>
    </xf>
    <xf numFmtId="44" fontId="19" fillId="8" borderId="0" xfId="1" applyFont="1" applyFill="1" applyAlignment="1">
      <alignment vertical="center"/>
    </xf>
    <xf numFmtId="44" fontId="19" fillId="8" borderId="0" xfId="1" applyFont="1" applyFill="1" applyAlignment="1">
      <alignment horizontal="center" vertical="center"/>
    </xf>
    <xf numFmtId="165" fontId="19" fillId="8" borderId="0" xfId="2" applyNumberFormat="1" applyFont="1" applyFill="1" applyAlignment="1">
      <alignment vertical="center"/>
    </xf>
    <xf numFmtId="44" fontId="7" fillId="8" borderId="0" xfId="1" applyFont="1" applyFill="1" applyAlignment="1">
      <alignment horizontal="center" vertical="center" wrapText="1"/>
    </xf>
    <xf numFmtId="49" fontId="4" fillId="9" borderId="0" xfId="0" applyNumberFormat="1" applyFon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44" fontId="5" fillId="9" borderId="1" xfId="0" applyNumberFormat="1" applyFont="1" applyFill="1" applyBorder="1" applyAlignment="1">
      <alignment horizontal="center"/>
    </xf>
    <xf numFmtId="4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49" fontId="23" fillId="27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34" fillId="26" borderId="44" xfId="0" applyFont="1" applyFill="1" applyBorder="1" applyAlignment="1">
      <alignment horizontal="center" vertical="center" wrapText="1"/>
    </xf>
    <xf numFmtId="0" fontId="34" fillId="26" borderId="45" xfId="0" applyFont="1" applyFill="1" applyBorder="1" applyAlignment="1">
      <alignment horizontal="center" vertical="center" wrapText="1"/>
    </xf>
    <xf numFmtId="0" fontId="34" fillId="26" borderId="46" xfId="0" applyFont="1" applyFill="1" applyBorder="1" applyAlignment="1">
      <alignment horizontal="center" vertical="center" wrapText="1"/>
    </xf>
    <xf numFmtId="0" fontId="34" fillId="26" borderId="47" xfId="0" applyFont="1" applyFill="1" applyBorder="1" applyAlignment="1">
      <alignment horizontal="center" vertical="center" wrapText="1"/>
    </xf>
    <xf numFmtId="0" fontId="35" fillId="26" borderId="44" xfId="0" applyFont="1" applyFill="1" applyBorder="1" applyAlignment="1">
      <alignment horizontal="center" vertical="center"/>
    </xf>
    <xf numFmtId="0" fontId="35" fillId="26" borderId="45" xfId="0" applyFont="1" applyFill="1" applyBorder="1" applyAlignment="1">
      <alignment horizontal="center" vertical="center"/>
    </xf>
    <xf numFmtId="0" fontId="35" fillId="26" borderId="46" xfId="0" applyFont="1" applyFill="1" applyBorder="1" applyAlignment="1">
      <alignment horizontal="center" vertical="center"/>
    </xf>
    <xf numFmtId="0" fontId="35" fillId="26" borderId="47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38" fillId="9" borderId="0" xfId="0" applyFont="1" applyFill="1" applyAlignment="1">
      <alignment horizontal="center" vertical="center"/>
    </xf>
    <xf numFmtId="0" fontId="38" fillId="9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/>
    </xf>
    <xf numFmtId="49" fontId="23" fillId="25" borderId="36" xfId="0" applyNumberFormat="1" applyFont="1" applyFill="1" applyBorder="1" applyAlignment="1">
      <alignment horizontal="center"/>
    </xf>
    <xf numFmtId="49" fontId="23" fillId="25" borderId="0" xfId="0" applyNumberFormat="1" applyFont="1" applyFill="1" applyAlignment="1">
      <alignment horizontal="center"/>
    </xf>
    <xf numFmtId="164" fontId="7" fillId="7" borderId="0" xfId="2" applyNumberFormat="1" applyFont="1" applyFill="1" applyAlignment="1">
      <alignment horizontal="center" vertical="center"/>
    </xf>
    <xf numFmtId="164" fontId="16" fillId="21" borderId="0" xfId="2" applyNumberFormat="1" applyFont="1" applyFill="1" applyAlignment="1">
      <alignment horizontal="center" vertical="center" wrapText="1"/>
    </xf>
    <xf numFmtId="10" fontId="0" fillId="6" borderId="2" xfId="0" applyNumberFormat="1" applyFill="1" applyBorder="1" applyAlignment="1">
      <alignment horizontal="center" vertical="center" textRotation="90"/>
    </xf>
    <xf numFmtId="10" fontId="0" fillId="6" borderId="5" xfId="0" applyNumberFormat="1" applyFill="1" applyBorder="1" applyAlignment="1">
      <alignment horizontal="center" vertical="center" textRotation="90"/>
    </xf>
    <xf numFmtId="10" fontId="0" fillId="6" borderId="20" xfId="0" applyNumberFormat="1" applyFill="1" applyBorder="1" applyAlignment="1">
      <alignment horizontal="center" vertical="center" textRotation="90"/>
    </xf>
    <xf numFmtId="0" fontId="22" fillId="3" borderId="16" xfId="0" applyFont="1" applyFill="1" applyBorder="1" applyAlignment="1">
      <alignment horizontal="center"/>
    </xf>
    <xf numFmtId="0" fontId="22" fillId="3" borderId="17" xfId="0" applyFont="1" applyFill="1" applyBorder="1" applyAlignment="1">
      <alignment horizontal="center"/>
    </xf>
    <xf numFmtId="44" fontId="7" fillId="3" borderId="18" xfId="1" applyFont="1" applyFill="1" applyBorder="1" applyAlignment="1">
      <alignment horizontal="center"/>
    </xf>
    <xf numFmtId="44" fontId="7" fillId="3" borderId="19" xfId="1" applyFont="1" applyFill="1" applyBorder="1" applyAlignment="1">
      <alignment horizontal="center"/>
    </xf>
    <xf numFmtId="44" fontId="20" fillId="3" borderId="9" xfId="0" applyNumberFormat="1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/>
    </xf>
    <xf numFmtId="10" fontId="0" fillId="6" borderId="2" xfId="0" applyNumberFormat="1" applyFill="1" applyBorder="1" applyAlignment="1">
      <alignment horizontal="center" vertical="center" textRotation="90" wrapText="1"/>
    </xf>
    <xf numFmtId="10" fontId="0" fillId="6" borderId="5" xfId="0" applyNumberFormat="1" applyFill="1" applyBorder="1" applyAlignment="1">
      <alignment horizontal="center" vertical="center" textRotation="90" wrapText="1"/>
    </xf>
    <xf numFmtId="10" fontId="0" fillId="6" borderId="20" xfId="0" applyNumberFormat="1" applyFill="1" applyBorder="1" applyAlignment="1">
      <alignment horizontal="center" vertical="center" textRotation="90" wrapText="1"/>
    </xf>
    <xf numFmtId="0" fontId="5" fillId="5" borderId="23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 textRotation="90"/>
    </xf>
    <xf numFmtId="0" fontId="0" fillId="6" borderId="20" xfId="0" applyFill="1" applyBorder="1" applyAlignment="1">
      <alignment horizontal="center" vertical="center" textRotation="90"/>
    </xf>
    <xf numFmtId="10" fontId="0" fillId="6" borderId="30" xfId="0" applyNumberFormat="1" applyFill="1" applyBorder="1" applyAlignment="1">
      <alignment horizontal="center" vertical="center" textRotation="90"/>
    </xf>
    <xf numFmtId="0" fontId="0" fillId="6" borderId="31" xfId="0" applyFill="1" applyBorder="1" applyAlignment="1">
      <alignment horizontal="center" vertical="center" textRotation="90"/>
    </xf>
    <xf numFmtId="0" fontId="0" fillId="6" borderId="32" xfId="0" applyFill="1" applyBorder="1" applyAlignment="1">
      <alignment horizontal="center" vertical="center" textRotation="90"/>
    </xf>
    <xf numFmtId="49" fontId="4" fillId="6" borderId="0" xfId="0" applyNumberFormat="1" applyFont="1" applyFill="1" applyAlignment="1">
      <alignment horizontal="center"/>
    </xf>
    <xf numFmtId="0" fontId="7" fillId="2" borderId="7" xfId="0" applyFont="1" applyFill="1" applyBorder="1" applyAlignment="1">
      <alignment horizontal="center"/>
    </xf>
    <xf numFmtId="44" fontId="16" fillId="2" borderId="9" xfId="1" applyFont="1" applyFill="1" applyBorder="1" applyAlignment="1">
      <alignment horizontal="center" vertical="center"/>
    </xf>
    <xf numFmtId="44" fontId="16" fillId="2" borderId="10" xfId="1" applyFont="1" applyFill="1" applyBorder="1" applyAlignment="1">
      <alignment horizontal="center" vertical="center"/>
    </xf>
    <xf numFmtId="44" fontId="17" fillId="2" borderId="8" xfId="1" applyFont="1" applyFill="1" applyBorder="1" applyAlignment="1">
      <alignment horizontal="center" vertical="center"/>
    </xf>
    <xf numFmtId="44" fontId="17" fillId="2" borderId="10" xfId="1" applyFont="1" applyFill="1" applyBorder="1" applyAlignment="1">
      <alignment horizontal="center" vertical="center"/>
    </xf>
    <xf numFmtId="44" fontId="12" fillId="2" borderId="11" xfId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9" fontId="7" fillId="6" borderId="1" xfId="2" applyFont="1" applyFill="1" applyBorder="1" applyAlignment="1">
      <alignment horizontal="center" vertical="center"/>
    </xf>
    <xf numFmtId="164" fontId="9" fillId="6" borderId="1" xfId="2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4" fillId="2" borderId="1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44" fontId="15" fillId="2" borderId="9" xfId="1" applyFont="1" applyFill="1" applyBorder="1" applyAlignment="1">
      <alignment horizontal="center" vertical="center"/>
    </xf>
    <xf numFmtId="44" fontId="15" fillId="2" borderId="10" xfId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44" fontId="12" fillId="2" borderId="9" xfId="1" applyFont="1" applyFill="1" applyBorder="1" applyAlignment="1">
      <alignment horizontal="center" vertical="center" wrapText="1"/>
    </xf>
    <xf numFmtId="44" fontId="12" fillId="2" borderId="10" xfId="1" applyFont="1" applyFill="1" applyBorder="1" applyAlignment="1">
      <alignment horizontal="center" vertical="center" wrapText="1"/>
    </xf>
    <xf numFmtId="44" fontId="5" fillId="6" borderId="0" xfId="1" applyFont="1" applyFill="1" applyAlignment="1">
      <alignment horizontal="center"/>
    </xf>
    <xf numFmtId="44" fontId="17" fillId="2" borderId="11" xfId="1" applyFont="1" applyFill="1" applyBorder="1" applyAlignment="1">
      <alignment horizontal="center" vertical="center"/>
    </xf>
    <xf numFmtId="44" fontId="21" fillId="3" borderId="8" xfId="1" applyFont="1" applyFill="1" applyBorder="1" applyAlignment="1">
      <alignment horizontal="center"/>
    </xf>
    <xf numFmtId="44" fontId="21" fillId="3" borderId="10" xfId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top"/>
    </xf>
    <xf numFmtId="0" fontId="4" fillId="17" borderId="0" xfId="0" applyFont="1" applyFill="1" applyAlignment="1">
      <alignment horizontal="center" vertical="center" textRotation="90" wrapText="1"/>
    </xf>
    <xf numFmtId="0" fontId="5" fillId="0" borderId="27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4" fillId="18" borderId="0" xfId="0" applyFont="1" applyFill="1" applyAlignment="1">
      <alignment horizontal="center" vertical="center" textRotation="90" wrapText="1"/>
    </xf>
    <xf numFmtId="0" fontId="5" fillId="0" borderId="40" xfId="0" applyFont="1" applyBorder="1" applyAlignment="1">
      <alignment horizontal="center" vertical="center" textRotation="90" wrapText="1"/>
    </xf>
    <xf numFmtId="0" fontId="5" fillId="0" borderId="43" xfId="0" applyFont="1" applyBorder="1" applyAlignment="1">
      <alignment horizontal="center" vertical="center" textRotation="90" wrapText="1"/>
    </xf>
    <xf numFmtId="0" fontId="5" fillId="0" borderId="41" xfId="0" applyFont="1" applyBorder="1" applyAlignment="1">
      <alignment horizontal="center" vertical="center" textRotation="90" wrapText="1"/>
    </xf>
    <xf numFmtId="0" fontId="0" fillId="19" borderId="40" xfId="0" applyFill="1" applyBorder="1" applyAlignment="1">
      <alignment horizontal="center" vertical="center" textRotation="90"/>
    </xf>
    <xf numFmtId="0" fontId="0" fillId="19" borderId="43" xfId="0" applyFill="1" applyBorder="1" applyAlignment="1">
      <alignment horizontal="center" vertical="center" textRotation="90"/>
    </xf>
    <xf numFmtId="0" fontId="0" fillId="19" borderId="41" xfId="0" applyFill="1" applyBorder="1" applyAlignment="1">
      <alignment horizontal="center" vertical="center" textRotation="90"/>
    </xf>
    <xf numFmtId="0" fontId="0" fillId="0" borderId="27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6" borderId="0" xfId="0" applyFill="1" applyAlignment="1">
      <alignment horizontal="center" vertical="center" textRotation="90" wrapText="1"/>
    </xf>
    <xf numFmtId="0" fontId="0" fillId="0" borderId="27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4" fillId="10" borderId="27" xfId="0" applyFont="1" applyFill="1" applyBorder="1" applyAlignment="1">
      <alignment horizontal="center" vertical="center" textRotation="90" wrapText="1"/>
    </xf>
    <xf numFmtId="0" fontId="4" fillId="10" borderId="0" xfId="0" applyFont="1" applyFill="1" applyAlignment="1">
      <alignment horizontal="center" vertical="center" textRotation="90" wrapText="1"/>
    </xf>
    <xf numFmtId="0" fontId="0" fillId="11" borderId="39" xfId="0" applyFill="1" applyBorder="1" applyAlignment="1">
      <alignment horizontal="center" vertical="center" textRotation="90" wrapText="1"/>
    </xf>
    <xf numFmtId="0" fontId="4" fillId="12" borderId="0" xfId="0" applyFont="1" applyFill="1" applyAlignment="1">
      <alignment horizontal="center" vertical="center" textRotation="90" wrapText="1"/>
    </xf>
    <xf numFmtId="0" fontId="0" fillId="0" borderId="40" xfId="0" applyBorder="1" applyAlignment="1">
      <alignment horizontal="center" vertical="center" textRotation="90"/>
    </xf>
    <xf numFmtId="0" fontId="0" fillId="0" borderId="43" xfId="0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/>
    </xf>
    <xf numFmtId="0" fontId="0" fillId="13" borderId="40" xfId="0" applyFill="1" applyBorder="1" applyAlignment="1">
      <alignment horizontal="center" vertical="center" textRotation="90"/>
    </xf>
    <xf numFmtId="0" fontId="0" fillId="13" borderId="43" xfId="0" applyFill="1" applyBorder="1" applyAlignment="1">
      <alignment horizontal="center" vertical="center" textRotation="90"/>
    </xf>
    <xf numFmtId="0" fontId="4" fillId="14" borderId="40" xfId="0" applyFont="1" applyFill="1" applyBorder="1" applyAlignment="1">
      <alignment horizontal="center" vertical="center" textRotation="90"/>
    </xf>
    <xf numFmtId="0" fontId="4" fillId="14" borderId="43" xfId="0" applyFont="1" applyFill="1" applyBorder="1" applyAlignment="1">
      <alignment horizontal="center" vertical="center" textRotation="90"/>
    </xf>
    <xf numFmtId="0" fontId="0" fillId="16" borderId="37" xfId="0" applyFill="1" applyBorder="1" applyAlignment="1">
      <alignment horizontal="center" vertical="center" textRotation="90" wrapText="1"/>
    </xf>
    <xf numFmtId="0" fontId="0" fillId="16" borderId="36" xfId="0" applyFill="1" applyBorder="1" applyAlignment="1">
      <alignment horizontal="center" vertical="center" textRotation="90" wrapText="1"/>
    </xf>
    <xf numFmtId="0" fontId="0" fillId="16" borderId="15" xfId="0" applyFill="1" applyBorder="1" applyAlignment="1">
      <alignment horizontal="center" vertical="center" textRotation="90" wrapText="1"/>
    </xf>
    <xf numFmtId="0" fontId="0" fillId="0" borderId="0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24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2757-0301-4371-A8A9-363063DC643C}">
  <dimension ref="A1:AG126"/>
  <sheetViews>
    <sheetView workbookViewId="0">
      <selection activeCell="A75" sqref="A75:XFD104"/>
    </sheetView>
  </sheetViews>
  <sheetFormatPr defaultRowHeight="14.4" x14ac:dyDescent="0.3"/>
  <cols>
    <col min="1" max="1" width="2.88671875" customWidth="1"/>
    <col min="2" max="2" width="3.6640625" customWidth="1"/>
    <col min="4" max="5" width="6.5546875" customWidth="1"/>
    <col min="6" max="6" width="5.88671875" customWidth="1"/>
    <col min="7" max="7" width="12.21875" customWidth="1"/>
    <col min="12" max="12" width="13.33203125" customWidth="1"/>
    <col min="15" max="15" width="9.88671875" bestFit="1" customWidth="1"/>
    <col min="21" max="21" width="25" customWidth="1"/>
  </cols>
  <sheetData>
    <row r="1" spans="1:33" s="89" customFormat="1" x14ac:dyDescent="0.3">
      <c r="C1" s="90"/>
      <c r="D1" s="90"/>
      <c r="E1" s="91"/>
      <c r="O1" s="202"/>
      <c r="P1" s="202"/>
      <c r="S1" s="203"/>
      <c r="T1" s="203"/>
      <c r="X1" s="203"/>
      <c r="Y1" s="204"/>
      <c r="Z1" s="204"/>
      <c r="AA1" s="205"/>
      <c r="AB1" s="91"/>
    </row>
    <row r="2" spans="1:33" s="89" customFormat="1" x14ac:dyDescent="0.3">
      <c r="B2" s="445"/>
      <c r="C2" s="445"/>
      <c r="D2" s="445"/>
      <c r="E2" s="445"/>
      <c r="O2" s="202"/>
      <c r="P2" s="202"/>
      <c r="S2" s="203"/>
      <c r="T2" s="203"/>
      <c r="U2" s="206"/>
      <c r="V2" s="206"/>
      <c r="X2" s="203"/>
      <c r="Y2" s="204"/>
      <c r="Z2" s="204"/>
      <c r="AA2" s="205"/>
      <c r="AB2" s="91"/>
    </row>
    <row r="3" spans="1:33" s="89" customFormat="1" ht="18" x14ac:dyDescent="0.3">
      <c r="C3" s="207"/>
      <c r="D3" s="446"/>
      <c r="E3" s="446"/>
      <c r="O3" s="202"/>
      <c r="P3" s="202"/>
      <c r="S3" s="203"/>
      <c r="T3" s="208"/>
      <c r="U3" s="209"/>
      <c r="X3" s="203"/>
      <c r="Y3" s="204"/>
      <c r="Z3" s="204"/>
      <c r="AA3" s="205"/>
      <c r="AB3" s="91"/>
    </row>
    <row r="4" spans="1:33" s="89" customFormat="1" ht="33.6" x14ac:dyDescent="0.65">
      <c r="B4" s="210"/>
      <c r="C4" s="211"/>
      <c r="D4" s="447"/>
      <c r="E4" s="447"/>
      <c r="F4" s="210"/>
      <c r="G4" s="448" t="s">
        <v>132</v>
      </c>
      <c r="H4" s="448"/>
      <c r="I4" s="448"/>
      <c r="J4" s="448"/>
      <c r="K4" s="448"/>
      <c r="L4" s="448"/>
      <c r="M4" s="448"/>
      <c r="N4" s="448"/>
      <c r="O4" s="448"/>
      <c r="P4" s="448"/>
      <c r="Q4" s="448"/>
      <c r="R4" s="448"/>
      <c r="S4" s="448"/>
      <c r="T4" s="208"/>
      <c r="U4" s="209"/>
      <c r="X4" s="203"/>
      <c r="Y4" s="204"/>
      <c r="Z4" s="204"/>
      <c r="AA4" s="205"/>
      <c r="AB4" s="91"/>
    </row>
    <row r="5" spans="1:33" s="89" customFormat="1" ht="18" x14ac:dyDescent="0.35">
      <c r="C5" s="90"/>
      <c r="D5" s="90"/>
      <c r="E5" s="91"/>
      <c r="O5" s="212"/>
      <c r="V5" s="213"/>
      <c r="X5" s="203"/>
      <c r="Y5" s="204"/>
      <c r="Z5" s="204"/>
      <c r="AA5" s="205"/>
      <c r="AB5" s="91"/>
    </row>
    <row r="6" spans="1:33" s="89" customFormat="1" ht="18" x14ac:dyDescent="0.35">
      <c r="C6" s="90"/>
      <c r="D6" s="90"/>
      <c r="E6" s="91"/>
      <c r="O6" s="212"/>
      <c r="V6" s="213"/>
      <c r="X6" s="203"/>
      <c r="Y6" s="204"/>
      <c r="Z6" s="204"/>
      <c r="AA6" s="205"/>
      <c r="AB6" s="91"/>
    </row>
    <row r="7" spans="1:33" ht="18" x14ac:dyDescent="0.35">
      <c r="A7" s="89"/>
      <c r="B7" s="1"/>
      <c r="C7" s="2"/>
      <c r="D7" s="2"/>
      <c r="E7" s="3"/>
      <c r="F7" s="4"/>
      <c r="G7" s="4"/>
      <c r="H7" s="4"/>
      <c r="I7" s="4"/>
      <c r="J7" s="4"/>
      <c r="K7" s="4"/>
      <c r="L7" s="4"/>
      <c r="M7" s="4"/>
      <c r="N7" s="4"/>
      <c r="O7" s="5"/>
      <c r="P7" s="4"/>
      <c r="Q7" s="4"/>
      <c r="R7" s="4"/>
      <c r="S7" s="4"/>
      <c r="T7" s="4"/>
      <c r="U7" s="4"/>
      <c r="V7" s="6"/>
      <c r="W7" s="4"/>
      <c r="X7" s="7"/>
      <c r="Y7" s="8"/>
      <c r="Z7" s="8"/>
      <c r="AA7" s="9"/>
      <c r="AB7" s="3"/>
      <c r="AC7" s="4"/>
      <c r="AD7" s="10"/>
      <c r="AE7" s="89"/>
      <c r="AF7" s="89"/>
      <c r="AG7" s="89"/>
    </row>
    <row r="8" spans="1:33" ht="21" x14ac:dyDescent="0.4">
      <c r="A8" s="89"/>
      <c r="B8" s="11"/>
      <c r="C8" s="12"/>
      <c r="D8" s="12"/>
      <c r="E8" s="13"/>
      <c r="F8" s="14"/>
      <c r="G8" s="14"/>
      <c r="H8" s="14"/>
      <c r="I8" s="449" t="s">
        <v>0</v>
      </c>
      <c r="J8" s="449"/>
      <c r="K8" s="449"/>
      <c r="L8" s="449"/>
      <c r="M8" s="449"/>
      <c r="N8" s="449"/>
      <c r="O8" s="449"/>
      <c r="P8" s="449"/>
      <c r="Q8" s="14"/>
      <c r="R8" s="14"/>
      <c r="S8" s="14"/>
      <c r="T8" s="14"/>
      <c r="U8" s="14"/>
      <c r="V8" s="15"/>
      <c r="W8" s="14"/>
      <c r="X8" s="16"/>
      <c r="Y8" s="17"/>
      <c r="Z8" s="17"/>
      <c r="AA8" s="18"/>
      <c r="AB8" s="13"/>
      <c r="AC8" s="14"/>
      <c r="AD8" s="19"/>
      <c r="AE8" s="89"/>
      <c r="AF8" s="89"/>
      <c r="AG8" s="89"/>
    </row>
    <row r="9" spans="1:33" ht="18" x14ac:dyDescent="0.35">
      <c r="A9" s="89"/>
      <c r="B9" s="11"/>
      <c r="C9" s="12"/>
      <c r="D9" s="12"/>
      <c r="E9" s="13"/>
      <c r="F9" s="14"/>
      <c r="G9" s="14"/>
      <c r="H9" s="14"/>
      <c r="I9" s="14"/>
      <c r="J9" s="14"/>
      <c r="K9" s="14"/>
      <c r="L9" s="14"/>
      <c r="M9" s="14"/>
      <c r="N9" s="14"/>
      <c r="O9" s="20"/>
      <c r="P9" s="14"/>
      <c r="Q9" s="14"/>
      <c r="R9" s="14"/>
      <c r="S9" s="14"/>
      <c r="T9" s="14"/>
      <c r="U9" s="14"/>
      <c r="V9" s="15"/>
      <c r="W9" s="14"/>
      <c r="X9" s="16"/>
      <c r="Y9" s="17"/>
      <c r="Z9" s="17"/>
      <c r="AA9" s="18"/>
      <c r="AB9" s="13"/>
      <c r="AC9" s="14"/>
      <c r="AD9" s="19"/>
      <c r="AE9" s="89"/>
      <c r="AF9" s="89"/>
      <c r="AG9" s="89"/>
    </row>
    <row r="10" spans="1:33" ht="18" x14ac:dyDescent="0.35">
      <c r="A10" s="89"/>
      <c r="B10" s="11"/>
      <c r="C10" s="436" t="s">
        <v>1</v>
      </c>
      <c r="D10" s="436"/>
      <c r="E10" s="436"/>
      <c r="F10" s="436"/>
      <c r="G10" s="436"/>
      <c r="H10" s="14"/>
      <c r="I10" s="14"/>
      <c r="J10" s="14"/>
      <c r="K10" s="14"/>
      <c r="L10" s="14"/>
      <c r="M10" s="14"/>
      <c r="N10" s="14"/>
      <c r="O10" s="20"/>
      <c r="P10" s="14"/>
      <c r="Q10" s="14"/>
      <c r="R10" s="14"/>
      <c r="S10" s="14"/>
      <c r="T10" s="14"/>
      <c r="U10" s="14"/>
      <c r="V10" s="15"/>
      <c r="W10" s="14"/>
      <c r="X10" s="16"/>
      <c r="Y10" s="17"/>
      <c r="Z10" s="17"/>
      <c r="AA10" s="18"/>
      <c r="AB10" s="13"/>
      <c r="AC10" s="14"/>
      <c r="AD10" s="19"/>
      <c r="AE10" s="89"/>
      <c r="AF10" s="89"/>
      <c r="AG10" s="89"/>
    </row>
    <row r="11" spans="1:33" ht="20.399999999999999" x14ac:dyDescent="0.3">
      <c r="A11" s="214"/>
      <c r="B11" s="21"/>
      <c r="C11" s="457" t="s">
        <v>2</v>
      </c>
      <c r="D11" s="458"/>
      <c r="E11" s="459"/>
      <c r="F11" s="460" t="s">
        <v>3</v>
      </c>
      <c r="G11" s="461"/>
      <c r="H11" s="22"/>
      <c r="I11" s="457" t="s">
        <v>2</v>
      </c>
      <c r="J11" s="458"/>
      <c r="K11" s="458"/>
      <c r="L11" s="458"/>
      <c r="M11" s="458"/>
      <c r="N11" s="460" t="s">
        <v>29</v>
      </c>
      <c r="O11" s="461"/>
      <c r="P11" s="22"/>
      <c r="Q11" s="457" t="s">
        <v>2</v>
      </c>
      <c r="R11" s="458"/>
      <c r="S11" s="458"/>
      <c r="T11" s="459"/>
      <c r="U11" s="199" t="s">
        <v>29</v>
      </c>
      <c r="V11" s="23"/>
      <c r="W11" s="450" t="s">
        <v>2</v>
      </c>
      <c r="X11" s="450"/>
      <c r="Y11" s="450"/>
      <c r="Z11" s="450"/>
      <c r="AA11" s="450"/>
      <c r="AB11" s="441" t="s">
        <v>29</v>
      </c>
      <c r="AC11" s="441"/>
      <c r="AD11" s="24"/>
      <c r="AE11" s="214"/>
      <c r="AF11" s="214"/>
      <c r="AG11" s="214"/>
    </row>
    <row r="12" spans="1:33" ht="18" x14ac:dyDescent="0.3">
      <c r="A12" s="214"/>
      <c r="B12" s="21"/>
      <c r="C12" s="442" t="s">
        <v>4</v>
      </c>
      <c r="D12" s="443"/>
      <c r="E12" s="444"/>
      <c r="F12" s="437">
        <f>N12+U12+AB12</f>
        <v>1140000</v>
      </c>
      <c r="G12" s="438"/>
      <c r="H12" s="22"/>
      <c r="I12" s="451" t="s">
        <v>5</v>
      </c>
      <c r="J12" s="452"/>
      <c r="K12" s="452"/>
      <c r="L12" s="452"/>
      <c r="M12" s="453"/>
      <c r="N12" s="454">
        <v>800000</v>
      </c>
      <c r="O12" s="455"/>
      <c r="P12" s="22"/>
      <c r="Q12" s="451" t="s">
        <v>6</v>
      </c>
      <c r="R12" s="452"/>
      <c r="S12" s="452"/>
      <c r="T12" s="453"/>
      <c r="U12" s="25">
        <v>300000</v>
      </c>
      <c r="V12" s="23"/>
      <c r="W12" s="456" t="s">
        <v>7</v>
      </c>
      <c r="X12" s="456"/>
      <c r="Y12" s="456"/>
      <c r="Z12" s="456"/>
      <c r="AA12" s="456"/>
      <c r="AB12" s="463">
        <v>40000</v>
      </c>
      <c r="AC12" s="463"/>
      <c r="AD12" s="24"/>
      <c r="AE12" s="214"/>
      <c r="AF12" s="214"/>
      <c r="AG12" s="214"/>
    </row>
    <row r="13" spans="1:33" ht="15.6" x14ac:dyDescent="0.3">
      <c r="A13" s="214"/>
      <c r="B13" s="21"/>
      <c r="C13" s="26" t="s">
        <v>8</v>
      </c>
      <c r="D13" s="27"/>
      <c r="E13" s="28"/>
      <c r="F13" s="437">
        <f>N13+U13+AB13</f>
        <v>80000</v>
      </c>
      <c r="G13" s="438"/>
      <c r="H13" s="22"/>
      <c r="I13" s="29" t="s">
        <v>8</v>
      </c>
      <c r="J13" s="30"/>
      <c r="K13" s="30"/>
      <c r="L13" s="30"/>
      <c r="M13" s="31"/>
      <c r="N13" s="439">
        <v>80000</v>
      </c>
      <c r="O13" s="440"/>
      <c r="P13" s="22"/>
      <c r="Q13" s="26" t="s">
        <v>8</v>
      </c>
      <c r="R13" s="32"/>
      <c r="S13" s="32"/>
      <c r="T13" s="33"/>
      <c r="U13" s="200"/>
      <c r="V13" s="23"/>
      <c r="W13" s="26" t="s">
        <v>8</v>
      </c>
      <c r="X13" s="32"/>
      <c r="Y13" s="32"/>
      <c r="Z13" s="32"/>
      <c r="AA13" s="33"/>
      <c r="AB13" s="439"/>
      <c r="AC13" s="440"/>
      <c r="AD13" s="24"/>
      <c r="AE13" s="214"/>
      <c r="AF13" s="214"/>
      <c r="AG13" s="214"/>
    </row>
    <row r="14" spans="1:33" ht="15.6" x14ac:dyDescent="0.3">
      <c r="A14" s="214"/>
      <c r="B14" s="21"/>
      <c r="C14" s="26" t="s">
        <v>30</v>
      </c>
      <c r="D14" s="27"/>
      <c r="E14" s="28"/>
      <c r="F14" s="437">
        <f>N14+U14+AB14</f>
        <v>150000</v>
      </c>
      <c r="G14" s="438"/>
      <c r="H14" s="22"/>
      <c r="I14" s="29" t="s">
        <v>30</v>
      </c>
      <c r="J14" s="30"/>
      <c r="K14" s="30"/>
      <c r="L14" s="30"/>
      <c r="M14" s="31"/>
      <c r="N14" s="439">
        <v>150000</v>
      </c>
      <c r="O14" s="440"/>
      <c r="P14" s="22"/>
      <c r="Q14" s="26" t="s">
        <v>30</v>
      </c>
      <c r="R14" s="32"/>
      <c r="S14" s="32"/>
      <c r="T14" s="33"/>
      <c r="U14" s="200"/>
      <c r="V14" s="23"/>
      <c r="W14" s="26" t="s">
        <v>30</v>
      </c>
      <c r="X14" s="32"/>
      <c r="Y14" s="32"/>
      <c r="Z14" s="32"/>
      <c r="AA14" s="33"/>
      <c r="AB14" s="439"/>
      <c r="AC14" s="440"/>
      <c r="AD14" s="24"/>
      <c r="AE14" s="214"/>
      <c r="AF14" s="214"/>
      <c r="AG14" s="214"/>
    </row>
    <row r="15" spans="1:33" ht="15.6" x14ac:dyDescent="0.3">
      <c r="A15" s="214"/>
      <c r="B15" s="21"/>
      <c r="C15" s="34" t="s">
        <v>31</v>
      </c>
      <c r="D15" s="35"/>
      <c r="E15" s="35"/>
      <c r="F15" s="36"/>
      <c r="G15" s="36"/>
      <c r="H15" s="22"/>
      <c r="I15" s="34" t="s">
        <v>31</v>
      </c>
      <c r="J15" s="37"/>
      <c r="K15" s="37"/>
      <c r="L15" s="37"/>
      <c r="M15" s="37"/>
      <c r="N15" s="38"/>
      <c r="O15" s="38"/>
      <c r="P15" s="22"/>
      <c r="Q15" s="34" t="s">
        <v>31</v>
      </c>
      <c r="R15" s="39"/>
      <c r="S15" s="39"/>
      <c r="T15" s="39"/>
      <c r="U15" s="38"/>
      <c r="V15" s="23"/>
      <c r="W15" s="34" t="s">
        <v>31</v>
      </c>
      <c r="X15" s="39"/>
      <c r="Y15" s="39"/>
      <c r="Z15" s="39"/>
      <c r="AA15" s="39"/>
      <c r="AB15" s="38"/>
      <c r="AC15" s="38"/>
      <c r="AD15" s="24"/>
      <c r="AE15" s="214"/>
      <c r="AF15" s="214"/>
      <c r="AG15" s="214"/>
    </row>
    <row r="16" spans="1:33" x14ac:dyDescent="0.3">
      <c r="A16" s="89"/>
      <c r="B16" s="1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0"/>
      <c r="S16" s="40"/>
      <c r="T16" s="14"/>
      <c r="U16" s="14"/>
      <c r="V16" s="14"/>
      <c r="W16" s="14"/>
      <c r="X16" s="14"/>
      <c r="Y16" s="14"/>
      <c r="Z16" s="14"/>
      <c r="AA16" s="14"/>
      <c r="AB16" s="40"/>
      <c r="AC16" s="40"/>
      <c r="AD16" s="19"/>
      <c r="AE16" s="89"/>
      <c r="AF16" s="89"/>
      <c r="AG16" s="89"/>
    </row>
    <row r="17" spans="1:33" ht="15.6" x14ac:dyDescent="0.3">
      <c r="A17" s="215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3"/>
      <c r="AE17" s="215"/>
      <c r="AF17" s="215"/>
      <c r="AG17" s="215"/>
    </row>
    <row r="18" spans="1:33" ht="15.6" x14ac:dyDescent="0.3">
      <c r="A18" s="215"/>
      <c r="B18" s="41"/>
      <c r="C18" s="418" t="s">
        <v>10</v>
      </c>
      <c r="D18" s="419"/>
      <c r="E18" s="419"/>
      <c r="F18" s="420">
        <f>SUM(F12:G14)-SUM(F16:G16)</f>
        <v>1370000</v>
      </c>
      <c r="G18" s="421"/>
      <c r="H18" s="42"/>
      <c r="I18" s="44" t="s">
        <v>11</v>
      </c>
      <c r="J18" s="45"/>
      <c r="K18" s="45"/>
      <c r="L18" s="45"/>
      <c r="M18" s="45"/>
      <c r="N18" s="422">
        <f>N12+N13+N14-SUM(N16:O16)</f>
        <v>1030000</v>
      </c>
      <c r="O18" s="423"/>
      <c r="P18" s="46"/>
      <c r="Q18" s="44" t="s">
        <v>11</v>
      </c>
      <c r="R18" s="45"/>
      <c r="S18" s="45"/>
      <c r="T18" s="47"/>
      <c r="U18" s="48">
        <f>SUM(U12+U13+U14-SUM(U16:U16))</f>
        <v>300000</v>
      </c>
      <c r="V18" s="42"/>
      <c r="W18" s="44" t="s">
        <v>11</v>
      </c>
      <c r="X18" s="49"/>
      <c r="Y18" s="49"/>
      <c r="Z18" s="49"/>
      <c r="AA18" s="50"/>
      <c r="AB18" s="464">
        <f>SUM(AB12+AB13+AB14-SUM(AB16:AC16))</f>
        <v>40000</v>
      </c>
      <c r="AC18" s="465"/>
      <c r="AD18" s="43"/>
      <c r="AE18" s="215"/>
      <c r="AF18" s="215"/>
      <c r="AG18" s="215"/>
    </row>
    <row r="19" spans="1:33" ht="15.6" x14ac:dyDescent="0.3">
      <c r="A19" s="215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3"/>
      <c r="AE19" s="215"/>
      <c r="AF19" s="215"/>
      <c r="AG19" s="215"/>
    </row>
    <row r="20" spans="1:33" ht="15.6" x14ac:dyDescent="0.3">
      <c r="A20" s="215"/>
      <c r="B20" s="51"/>
      <c r="C20" s="52"/>
      <c r="D20" s="53"/>
      <c r="E20" s="54"/>
      <c r="F20" s="54"/>
      <c r="G20" s="54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4"/>
      <c r="T20" s="54"/>
      <c r="U20" s="201"/>
      <c r="V20" s="54"/>
      <c r="W20" s="55"/>
      <c r="X20" s="54"/>
      <c r="Y20" s="56"/>
      <c r="Z20" s="56"/>
      <c r="AA20" s="57"/>
      <c r="AB20" s="466"/>
      <c r="AC20" s="466"/>
      <c r="AD20" s="58"/>
      <c r="AE20" s="215"/>
      <c r="AF20" s="215"/>
      <c r="AG20" s="215"/>
    </row>
    <row r="21" spans="1:33" ht="15.6" x14ac:dyDescent="0.3">
      <c r="A21" s="215"/>
      <c r="B21" s="215"/>
      <c r="C21" s="216"/>
      <c r="D21" s="215"/>
      <c r="E21" s="217"/>
      <c r="F21" s="217"/>
      <c r="G21" s="217"/>
      <c r="H21" s="215"/>
      <c r="I21" s="215"/>
      <c r="J21" s="215"/>
      <c r="K21" s="215"/>
      <c r="L21" s="215"/>
      <c r="M21" s="215"/>
      <c r="N21" s="215"/>
      <c r="O21" s="215"/>
      <c r="P21" s="218"/>
      <c r="Q21" s="215"/>
      <c r="R21" s="215"/>
      <c r="S21" s="217"/>
      <c r="T21" s="217"/>
      <c r="U21" s="215"/>
      <c r="V21" s="215"/>
      <c r="W21" s="215"/>
      <c r="X21" s="215"/>
      <c r="Y21" s="215"/>
      <c r="Z21" s="215"/>
      <c r="AA21" s="218"/>
      <c r="AB21" s="218"/>
      <c r="AC21" s="215"/>
      <c r="AD21" s="217"/>
      <c r="AE21" s="215"/>
      <c r="AF21" s="215"/>
      <c r="AG21" s="215"/>
    </row>
    <row r="22" spans="1:33" x14ac:dyDescent="0.3">
      <c r="A22" s="89"/>
      <c r="B22" s="89"/>
      <c r="C22" s="90"/>
      <c r="D22" s="90"/>
      <c r="E22" s="91"/>
      <c r="F22" s="89"/>
      <c r="G22" s="89"/>
      <c r="H22" s="89"/>
      <c r="I22" s="89"/>
      <c r="J22" s="89"/>
      <c r="K22" s="89"/>
      <c r="L22" s="89"/>
      <c r="M22" s="89"/>
      <c r="N22" s="89"/>
      <c r="O22" s="202"/>
      <c r="P22" s="202"/>
      <c r="Q22" s="89"/>
      <c r="R22" s="89"/>
      <c r="S22" s="203"/>
      <c r="T22" s="203"/>
      <c r="U22" s="206"/>
      <c r="V22" s="223"/>
      <c r="W22" s="89"/>
      <c r="X22" s="203"/>
      <c r="Y22" s="219"/>
      <c r="Z22" s="219"/>
      <c r="AA22" s="220"/>
      <c r="AB22" s="91"/>
      <c r="AC22" s="89"/>
      <c r="AD22" s="89"/>
      <c r="AE22" s="89"/>
      <c r="AF22" s="89"/>
      <c r="AG22" s="89"/>
    </row>
    <row r="23" spans="1:33" x14ac:dyDescent="0.3">
      <c r="A23" s="89"/>
      <c r="B23" s="89"/>
      <c r="C23" s="90"/>
      <c r="D23" s="90"/>
      <c r="E23" s="91"/>
      <c r="F23" s="89"/>
      <c r="G23" s="89"/>
      <c r="H23" s="89"/>
      <c r="I23" s="89"/>
      <c r="J23" s="89"/>
      <c r="K23" s="89"/>
      <c r="L23" s="89"/>
      <c r="M23" s="89"/>
      <c r="N23" s="89"/>
      <c r="O23" s="202"/>
      <c r="P23" s="202"/>
      <c r="Q23" s="89"/>
      <c r="R23" s="89"/>
      <c r="S23" s="203"/>
      <c r="T23" s="203"/>
      <c r="U23" s="206"/>
      <c r="V23" s="223"/>
      <c r="W23" s="89"/>
      <c r="X23" s="203"/>
      <c r="Y23" s="219"/>
      <c r="Z23" s="219"/>
      <c r="AA23" s="220"/>
      <c r="AB23" s="91"/>
      <c r="AC23" s="89"/>
      <c r="AD23" s="89"/>
      <c r="AE23" s="89"/>
      <c r="AF23" s="89"/>
      <c r="AG23" s="89"/>
    </row>
    <row r="24" spans="1:33" x14ac:dyDescent="0.3">
      <c r="A24" s="89"/>
      <c r="B24" s="89"/>
      <c r="C24" s="427" t="s">
        <v>12</v>
      </c>
      <c r="D24" s="428"/>
      <c r="E24" s="429"/>
      <c r="F24" s="89"/>
      <c r="G24" s="224"/>
      <c r="H24" s="224"/>
      <c r="I24" s="225"/>
      <c r="J24" s="225"/>
      <c r="K24" s="225"/>
      <c r="L24" s="226"/>
      <c r="M24" s="227"/>
      <c r="N24" s="227"/>
      <c r="O24" s="228"/>
      <c r="P24" s="228"/>
      <c r="Q24" s="227"/>
      <c r="R24" s="227"/>
      <c r="S24" s="226"/>
      <c r="T24" s="226"/>
      <c r="U24" s="227"/>
      <c r="V24" s="223"/>
      <c r="W24" s="89"/>
      <c r="X24" s="203"/>
      <c r="Y24" s="219"/>
      <c r="Z24" s="219"/>
      <c r="AA24" s="220"/>
      <c r="AB24" s="91"/>
      <c r="AC24" s="89"/>
      <c r="AD24" s="89"/>
      <c r="AE24" s="89"/>
      <c r="AF24" s="89"/>
      <c r="AG24" s="89"/>
    </row>
    <row r="25" spans="1:33" x14ac:dyDescent="0.3">
      <c r="A25" s="89"/>
      <c r="B25" s="89"/>
      <c r="C25" s="59" t="s">
        <v>13</v>
      </c>
      <c r="D25" s="60"/>
      <c r="E25" s="61" t="s">
        <v>9</v>
      </c>
      <c r="F25" s="89"/>
      <c r="G25" s="89"/>
      <c r="H25" s="89"/>
      <c r="I25" s="89"/>
      <c r="J25" s="89"/>
      <c r="K25" s="89"/>
      <c r="L25" s="89"/>
      <c r="M25" s="89"/>
      <c r="N25" s="89"/>
      <c r="O25" s="202"/>
      <c r="P25" s="202"/>
      <c r="Q25" s="89"/>
      <c r="R25" s="89"/>
      <c r="S25" s="203"/>
      <c r="T25" s="203"/>
      <c r="U25" s="89"/>
      <c r="V25" s="223"/>
      <c r="W25" s="89"/>
      <c r="X25" s="203"/>
      <c r="Y25" s="219"/>
      <c r="Z25" s="219"/>
      <c r="AA25" s="220"/>
      <c r="AB25" s="91"/>
      <c r="AC25" s="89"/>
      <c r="AD25" s="89"/>
      <c r="AE25" s="89"/>
      <c r="AF25" s="89"/>
      <c r="AG25" s="89"/>
    </row>
    <row r="26" spans="1:33" x14ac:dyDescent="0.3">
      <c r="A26" s="89"/>
      <c r="B26" s="415">
        <f>SUM(E27:E28)</f>
        <v>0.51229999999999998</v>
      </c>
      <c r="C26" s="62"/>
      <c r="D26" s="63"/>
      <c r="E26" s="63"/>
      <c r="F26" s="229"/>
      <c r="G26" s="229"/>
      <c r="H26" s="229"/>
      <c r="I26" s="229"/>
      <c r="J26" s="229"/>
      <c r="K26" s="229"/>
      <c r="L26" s="229"/>
      <c r="M26" s="229"/>
      <c r="N26" s="229"/>
      <c r="O26" s="230"/>
      <c r="P26" s="230"/>
      <c r="Q26" s="229"/>
      <c r="R26" s="229"/>
      <c r="S26" s="231"/>
      <c r="T26" s="231"/>
      <c r="U26" s="229"/>
      <c r="V26" s="232"/>
      <c r="W26" s="89"/>
      <c r="X26" s="203"/>
      <c r="Y26" s="219"/>
      <c r="Z26" s="219"/>
      <c r="AA26" s="220"/>
      <c r="AB26" s="91"/>
      <c r="AC26" s="89"/>
      <c r="AD26" s="89"/>
      <c r="AE26" s="89"/>
      <c r="AF26" s="89"/>
      <c r="AG26" s="89"/>
    </row>
    <row r="27" spans="1:33" ht="14.4" customHeight="1" x14ac:dyDescent="0.3">
      <c r="A27" s="89"/>
      <c r="B27" s="416"/>
      <c r="C27" s="64" t="s">
        <v>14</v>
      </c>
      <c r="D27" s="64"/>
      <c r="E27" s="65">
        <f>O27</f>
        <v>0.51229999999999998</v>
      </c>
      <c r="F27" s="89"/>
      <c r="G27" s="89"/>
      <c r="H27" s="89"/>
      <c r="I27" s="89"/>
      <c r="J27" s="89"/>
      <c r="K27" s="89"/>
      <c r="L27" s="89"/>
      <c r="M27" s="89"/>
      <c r="N27" s="89"/>
      <c r="O27" s="202">
        <f>U27/U52</f>
        <v>0.51229999999999998</v>
      </c>
      <c r="P27" s="66" t="s">
        <v>15</v>
      </c>
      <c r="Q27" s="67"/>
      <c r="R27" s="67"/>
      <c r="S27" s="16"/>
      <c r="T27" s="16"/>
      <c r="U27" s="68">
        <f>F18</f>
        <v>1370000</v>
      </c>
      <c r="V27" s="233"/>
      <c r="W27" s="89"/>
      <c r="X27" s="203"/>
      <c r="Y27" s="219"/>
      <c r="Z27" s="219"/>
      <c r="AA27" s="220"/>
      <c r="AB27" s="91"/>
      <c r="AC27" s="89"/>
      <c r="AD27" s="89"/>
      <c r="AE27" s="89"/>
      <c r="AF27" s="89"/>
      <c r="AG27" s="89"/>
    </row>
    <row r="28" spans="1:33" x14ac:dyDescent="0.3">
      <c r="A28" s="89"/>
      <c r="B28" s="417"/>
      <c r="C28" s="69"/>
      <c r="D28" s="69"/>
      <c r="E28" s="70"/>
      <c r="F28" s="234"/>
      <c r="G28" s="234"/>
      <c r="H28" s="234"/>
      <c r="I28" s="234"/>
      <c r="J28" s="234"/>
      <c r="K28" s="234"/>
      <c r="L28" s="234"/>
      <c r="M28" s="234"/>
      <c r="N28" s="234"/>
      <c r="O28" s="235"/>
      <c r="P28" s="235"/>
      <c r="Q28" s="234"/>
      <c r="R28" s="234"/>
      <c r="S28" s="236"/>
      <c r="T28" s="236"/>
      <c r="U28" s="234"/>
      <c r="V28" s="237"/>
      <c r="W28" s="89"/>
      <c r="X28" s="203"/>
      <c r="Y28" s="219"/>
      <c r="Z28" s="219"/>
      <c r="AA28" s="220"/>
      <c r="AB28" s="91"/>
      <c r="AC28" s="89"/>
      <c r="AD28" s="89"/>
      <c r="AE28" s="89"/>
      <c r="AF28" s="89"/>
      <c r="AG28" s="89"/>
    </row>
    <row r="29" spans="1:33" x14ac:dyDescent="0.3">
      <c r="A29" s="89"/>
      <c r="B29" s="89"/>
      <c r="C29" s="71"/>
      <c r="D29" s="64"/>
      <c r="E29" s="72"/>
      <c r="F29" s="89"/>
      <c r="G29" s="89"/>
      <c r="H29" s="89"/>
      <c r="I29" s="89"/>
      <c r="J29" s="89"/>
      <c r="K29" s="89"/>
      <c r="L29" s="89"/>
      <c r="M29" s="89"/>
      <c r="N29" s="89"/>
      <c r="O29" s="202"/>
      <c r="P29" s="238" t="s">
        <v>16</v>
      </c>
      <c r="Q29" s="239">
        <f>1-SUM(O30:O49)</f>
        <v>0.51229999999999998</v>
      </c>
      <c r="R29" s="239"/>
      <c r="S29" s="89"/>
      <c r="T29" s="240" t="s">
        <v>17</v>
      </c>
      <c r="U29" s="223">
        <f>SUM(U27:U27)</f>
        <v>1370000</v>
      </c>
      <c r="V29" s="223"/>
      <c r="W29" s="89"/>
      <c r="X29" s="203"/>
      <c r="Y29" s="219"/>
      <c r="Z29" s="219"/>
      <c r="AA29" s="220"/>
      <c r="AB29" s="91"/>
      <c r="AC29" s="89"/>
      <c r="AD29" s="89"/>
      <c r="AE29" s="89"/>
      <c r="AF29" s="89"/>
      <c r="AG29" s="89"/>
    </row>
    <row r="30" spans="1:33" x14ac:dyDescent="0.3">
      <c r="A30" s="89"/>
      <c r="B30" s="89"/>
      <c r="C30" s="71"/>
      <c r="D30" s="64"/>
      <c r="E30" s="72"/>
      <c r="F30" s="89"/>
      <c r="G30" s="89"/>
      <c r="H30" s="89"/>
      <c r="I30" s="89"/>
      <c r="J30" s="89"/>
      <c r="K30" s="89"/>
      <c r="L30" s="89"/>
      <c r="M30" s="89"/>
      <c r="N30" s="89"/>
      <c r="O30" s="202"/>
      <c r="P30" s="202"/>
      <c r="Q30" s="89"/>
      <c r="R30" s="89"/>
      <c r="S30" s="203"/>
      <c r="T30" s="203"/>
      <c r="U30" s="89"/>
      <c r="V30" s="223"/>
      <c r="W30" s="89"/>
      <c r="X30" s="203"/>
      <c r="Y30" s="219"/>
      <c r="Z30" s="219"/>
      <c r="AA30" s="220"/>
      <c r="AB30" s="91"/>
      <c r="AC30" s="89"/>
      <c r="AD30" s="89"/>
      <c r="AE30" s="89"/>
      <c r="AF30" s="89"/>
      <c r="AG30" s="89"/>
    </row>
    <row r="31" spans="1:33" x14ac:dyDescent="0.3">
      <c r="A31" s="89"/>
      <c r="B31" s="221"/>
      <c r="C31" s="73"/>
      <c r="D31" s="73"/>
      <c r="E31" s="74"/>
      <c r="F31" s="229"/>
      <c r="G31" s="229"/>
      <c r="H31" s="229"/>
      <c r="I31" s="229"/>
      <c r="J31" s="229"/>
      <c r="K31" s="229"/>
      <c r="L31" s="229"/>
      <c r="M31" s="229"/>
      <c r="N31" s="229"/>
      <c r="O31" s="230"/>
      <c r="P31" s="230"/>
      <c r="Q31" s="229"/>
      <c r="R31" s="229"/>
      <c r="S31" s="231"/>
      <c r="T31" s="231"/>
      <c r="U31" s="229"/>
      <c r="V31" s="232"/>
      <c r="W31" s="89"/>
      <c r="X31" s="203"/>
      <c r="Y31" s="219"/>
      <c r="Z31" s="219"/>
      <c r="AA31" s="220"/>
      <c r="AB31" s="91"/>
      <c r="AC31" s="89"/>
      <c r="AD31" s="89"/>
      <c r="AE31" s="89"/>
      <c r="AF31" s="89"/>
      <c r="AG31" s="89"/>
    </row>
    <row r="32" spans="1:33" x14ac:dyDescent="0.3">
      <c r="A32" s="89"/>
      <c r="B32" s="416">
        <f>SUM(E32:E35)</f>
        <v>0.22769999999999999</v>
      </c>
      <c r="C32" s="64" t="s">
        <v>133</v>
      </c>
      <c r="D32" s="75"/>
      <c r="E32" s="76">
        <v>6.2199999999999998E-2</v>
      </c>
      <c r="F32" s="89"/>
      <c r="G32" s="89"/>
      <c r="H32" s="89"/>
      <c r="I32" s="89"/>
      <c r="J32" s="89"/>
      <c r="K32" s="89"/>
      <c r="L32" s="89"/>
      <c r="M32" s="89"/>
      <c r="N32" s="89"/>
      <c r="O32" s="202">
        <f>E32</f>
        <v>6.2199999999999998E-2</v>
      </c>
      <c r="P32" s="89" t="s">
        <v>134</v>
      </c>
      <c r="Q32" s="89"/>
      <c r="R32" s="89"/>
      <c r="S32" s="203"/>
      <c r="T32" s="241"/>
      <c r="U32" s="223">
        <f>U52*O32</f>
        <v>166336.13117314075</v>
      </c>
      <c r="V32" s="233"/>
      <c r="W32" s="89"/>
      <c r="X32" s="203"/>
      <c r="Y32" s="219"/>
      <c r="Z32" s="219"/>
      <c r="AA32" s="220"/>
      <c r="AB32" s="91"/>
      <c r="AC32" s="89"/>
      <c r="AD32" s="89"/>
      <c r="AE32" s="89"/>
      <c r="AF32" s="89"/>
      <c r="AG32" s="89"/>
    </row>
    <row r="33" spans="1:33" x14ac:dyDescent="0.3">
      <c r="A33" s="89"/>
      <c r="B33" s="430"/>
      <c r="C33" s="64" t="s">
        <v>18</v>
      </c>
      <c r="D33" s="75"/>
      <c r="E33" s="76">
        <v>0.10489999999999999</v>
      </c>
      <c r="F33" s="89"/>
      <c r="G33" s="89"/>
      <c r="H33" s="89"/>
      <c r="I33" s="89"/>
      <c r="J33" s="89"/>
      <c r="K33" s="89"/>
      <c r="L33" s="89"/>
      <c r="M33" s="89"/>
      <c r="N33" s="89"/>
      <c r="O33" s="202">
        <f>E33</f>
        <v>0.10489999999999999</v>
      </c>
      <c r="P33" s="89" t="s">
        <v>19</v>
      </c>
      <c r="Q33" s="89"/>
      <c r="R33" s="89"/>
      <c r="S33" s="203"/>
      <c r="T33" s="203"/>
      <c r="U33" s="223">
        <f>U52*O33</f>
        <v>280525.08295920357</v>
      </c>
      <c r="V33" s="233"/>
      <c r="W33" s="89"/>
      <c r="X33" s="203"/>
      <c r="Y33" s="219"/>
      <c r="Z33" s="219"/>
      <c r="AA33" s="220"/>
      <c r="AB33" s="91"/>
      <c r="AC33" s="89"/>
      <c r="AD33" s="89"/>
      <c r="AE33" s="89"/>
      <c r="AF33" s="89"/>
      <c r="AG33" s="89"/>
    </row>
    <row r="34" spans="1:33" x14ac:dyDescent="0.3">
      <c r="A34" s="89"/>
      <c r="B34" s="430"/>
      <c r="C34" s="64" t="s">
        <v>20</v>
      </c>
      <c r="D34" s="64"/>
      <c r="E34" s="76">
        <v>0.06</v>
      </c>
      <c r="F34" s="89"/>
      <c r="G34" s="89"/>
      <c r="H34" s="89"/>
      <c r="I34" s="89"/>
      <c r="J34" s="89"/>
      <c r="K34" s="89"/>
      <c r="L34" s="89"/>
      <c r="M34" s="89"/>
      <c r="N34" s="89"/>
      <c r="O34" s="202">
        <f>E34</f>
        <v>0.06</v>
      </c>
      <c r="P34" s="89" t="s">
        <v>21</v>
      </c>
      <c r="Q34" s="89"/>
      <c r="R34" s="89"/>
      <c r="S34" s="203"/>
      <c r="T34" s="203"/>
      <c r="U34" s="223">
        <f>U52*O34</f>
        <v>160452.85965254734</v>
      </c>
      <c r="V34" s="233"/>
      <c r="W34" s="89"/>
      <c r="X34" s="203"/>
      <c r="Y34" s="219"/>
      <c r="Z34" s="219"/>
      <c r="AA34" s="220"/>
      <c r="AB34" s="91"/>
      <c r="AC34" s="89"/>
      <c r="AD34" s="89"/>
      <c r="AE34" s="89"/>
      <c r="AF34" s="89"/>
      <c r="AG34" s="89"/>
    </row>
    <row r="35" spans="1:33" x14ac:dyDescent="0.3">
      <c r="A35" s="89"/>
      <c r="B35" s="430"/>
      <c r="C35" s="64" t="s">
        <v>22</v>
      </c>
      <c r="D35" s="64"/>
      <c r="E35" s="76">
        <v>5.9999999999999995E-4</v>
      </c>
      <c r="F35" s="89"/>
      <c r="G35" s="89"/>
      <c r="H35" s="89"/>
      <c r="I35" s="89"/>
      <c r="J35" s="89"/>
      <c r="K35" s="89"/>
      <c r="L35" s="89"/>
      <c r="M35" s="89"/>
      <c r="N35" s="89"/>
      <c r="O35" s="202">
        <f>E35</f>
        <v>5.9999999999999995E-4</v>
      </c>
      <c r="P35" s="89" t="s">
        <v>23</v>
      </c>
      <c r="Q35" s="89"/>
      <c r="R35" s="89"/>
      <c r="S35" s="203"/>
      <c r="T35" s="203"/>
      <c r="U35" s="223">
        <f>U52*O35</f>
        <v>1604.5285965254734</v>
      </c>
      <c r="V35" s="233"/>
      <c r="W35" s="89"/>
      <c r="X35" s="203"/>
      <c r="Y35" s="219"/>
      <c r="Z35" s="219"/>
      <c r="AA35" s="220"/>
      <c r="AB35" s="91"/>
      <c r="AC35" s="89"/>
      <c r="AD35" s="89"/>
      <c r="AE35" s="89"/>
      <c r="AF35" s="89"/>
      <c r="AG35" s="89"/>
    </row>
    <row r="36" spans="1:33" x14ac:dyDescent="0.3">
      <c r="A36" s="89"/>
      <c r="B36" s="431"/>
      <c r="C36" s="69"/>
      <c r="D36" s="69"/>
      <c r="E36" s="70"/>
      <c r="F36" s="234"/>
      <c r="G36" s="234"/>
      <c r="H36" s="234"/>
      <c r="I36" s="234"/>
      <c r="J36" s="234"/>
      <c r="K36" s="234"/>
      <c r="L36" s="234"/>
      <c r="M36" s="234"/>
      <c r="N36" s="234"/>
      <c r="O36" s="235"/>
      <c r="P36" s="234"/>
      <c r="Q36" s="234"/>
      <c r="R36" s="234"/>
      <c r="S36" s="236"/>
      <c r="T36" s="236"/>
      <c r="U36" s="242"/>
      <c r="V36" s="237"/>
      <c r="W36" s="89"/>
      <c r="X36" s="203"/>
      <c r="Y36" s="219"/>
      <c r="Z36" s="219"/>
      <c r="AA36" s="220"/>
      <c r="AB36" s="91"/>
      <c r="AC36" s="89"/>
      <c r="AD36" s="89"/>
      <c r="AE36" s="89"/>
      <c r="AF36" s="89"/>
      <c r="AG36" s="89"/>
    </row>
    <row r="37" spans="1:33" x14ac:dyDescent="0.3">
      <c r="A37" s="89"/>
      <c r="B37" s="222"/>
      <c r="C37" s="64"/>
      <c r="D37" s="64"/>
      <c r="E37" s="77"/>
      <c r="F37" s="89"/>
      <c r="G37" s="89"/>
      <c r="H37" s="89"/>
      <c r="I37" s="89"/>
      <c r="J37" s="89"/>
      <c r="K37" s="89"/>
      <c r="L37" s="89"/>
      <c r="M37" s="243"/>
      <c r="N37" s="243"/>
      <c r="O37" s="202"/>
      <c r="P37" s="202"/>
      <c r="Q37" s="89"/>
      <c r="R37" s="89"/>
      <c r="S37" s="203"/>
      <c r="T37" s="203"/>
      <c r="U37" s="89"/>
      <c r="V37" s="223"/>
      <c r="W37" s="89"/>
      <c r="X37" s="203"/>
      <c r="Y37" s="219"/>
      <c r="Z37" s="219"/>
      <c r="AA37" s="220"/>
      <c r="AB37" s="91"/>
      <c r="AC37" s="89"/>
      <c r="AD37" s="89"/>
      <c r="AE37" s="89"/>
      <c r="AF37" s="89"/>
      <c r="AG37" s="89"/>
    </row>
    <row r="38" spans="1:33" x14ac:dyDescent="0.3">
      <c r="A38" s="89"/>
      <c r="B38" s="432">
        <f>SUM(E39)</f>
        <v>0.08</v>
      </c>
      <c r="C38" s="73"/>
      <c r="D38" s="73"/>
      <c r="E38" s="78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230"/>
      <c r="Q38" s="229"/>
      <c r="R38" s="229"/>
      <c r="S38" s="231"/>
      <c r="T38" s="231"/>
      <c r="U38" s="229"/>
      <c r="V38" s="232"/>
      <c r="W38" s="89"/>
      <c r="X38" s="203"/>
      <c r="Y38" s="219"/>
      <c r="Z38" s="219"/>
      <c r="AA38" s="220"/>
      <c r="AB38" s="91"/>
      <c r="AC38" s="89"/>
      <c r="AD38" s="89"/>
      <c r="AE38" s="89"/>
      <c r="AF38" s="89"/>
      <c r="AG38" s="89"/>
    </row>
    <row r="39" spans="1:33" x14ac:dyDescent="0.3">
      <c r="A39" s="89"/>
      <c r="B39" s="433"/>
      <c r="C39" s="79" t="s">
        <v>130</v>
      </c>
      <c r="D39" s="79"/>
      <c r="E39" s="80">
        <v>0.08</v>
      </c>
      <c r="F39" s="89"/>
      <c r="G39" s="244" t="s">
        <v>24</v>
      </c>
      <c r="H39" s="244" t="s">
        <v>24</v>
      </c>
      <c r="I39" s="244" t="s">
        <v>24</v>
      </c>
      <c r="J39" s="244"/>
      <c r="K39" s="244"/>
      <c r="L39" s="244" t="s">
        <v>24</v>
      </c>
      <c r="M39" s="435" t="s">
        <v>24</v>
      </c>
      <c r="N39" s="435"/>
      <c r="O39" s="245">
        <f>E39</f>
        <v>0.08</v>
      </c>
      <c r="P39" s="227" t="s">
        <v>131</v>
      </c>
      <c r="Q39" s="227"/>
      <c r="R39" s="227"/>
      <c r="S39" s="226"/>
      <c r="T39" s="226"/>
      <c r="U39" s="246">
        <f>U52*O39</f>
        <v>213937.14620339646</v>
      </c>
      <c r="V39" s="233"/>
      <c r="W39" s="89"/>
      <c r="X39" s="462"/>
      <c r="Y39" s="462"/>
      <c r="Z39" s="219"/>
      <c r="AA39" s="220"/>
      <c r="AB39" s="91"/>
      <c r="AC39" s="89"/>
      <c r="AD39" s="89"/>
      <c r="AE39" s="89"/>
      <c r="AF39" s="89"/>
      <c r="AG39" s="89"/>
    </row>
    <row r="40" spans="1:33" x14ac:dyDescent="0.3">
      <c r="A40" s="89"/>
      <c r="B40" s="434"/>
      <c r="C40" s="69"/>
      <c r="D40" s="69"/>
      <c r="E40" s="81"/>
      <c r="F40" s="234"/>
      <c r="G40" s="234"/>
      <c r="H40" s="234"/>
      <c r="I40" s="234"/>
      <c r="J40" s="234"/>
      <c r="K40" s="234"/>
      <c r="L40" s="234"/>
      <c r="M40" s="247"/>
      <c r="N40" s="247"/>
      <c r="O40" s="235"/>
      <c r="P40" s="235"/>
      <c r="Q40" s="234"/>
      <c r="R40" s="234"/>
      <c r="S40" s="236"/>
      <c r="T40" s="236"/>
      <c r="U40" s="234"/>
      <c r="V40" s="237"/>
      <c r="W40" s="89"/>
      <c r="X40" s="203"/>
      <c r="Y40" s="219"/>
      <c r="Z40" s="219"/>
      <c r="AA40" s="220"/>
      <c r="AB40" s="91"/>
      <c r="AC40" s="89"/>
      <c r="AD40" s="89"/>
      <c r="AE40" s="89"/>
      <c r="AF40" s="89"/>
      <c r="AG40" s="89"/>
    </row>
    <row r="41" spans="1:33" x14ac:dyDescent="0.3">
      <c r="A41" s="89"/>
      <c r="B41" s="222"/>
      <c r="C41" s="64"/>
      <c r="D41" s="64"/>
      <c r="E41" s="77"/>
      <c r="F41" s="89"/>
      <c r="G41" s="89"/>
      <c r="H41" s="89"/>
      <c r="I41" s="89"/>
      <c r="J41" s="89"/>
      <c r="K41" s="89"/>
      <c r="L41" s="89"/>
      <c r="M41" s="243"/>
      <c r="N41" s="243"/>
      <c r="O41" s="202"/>
      <c r="P41" s="202"/>
      <c r="Q41" s="89"/>
      <c r="R41" s="89"/>
      <c r="S41" s="203"/>
      <c r="T41" s="203"/>
      <c r="U41" s="89"/>
      <c r="V41" s="223"/>
      <c r="W41" s="89"/>
      <c r="X41" s="203"/>
      <c r="Y41" s="219"/>
      <c r="Z41" s="219"/>
      <c r="AA41" s="220"/>
      <c r="AB41" s="91"/>
      <c r="AC41" s="89"/>
      <c r="AD41" s="89"/>
      <c r="AE41" s="89"/>
      <c r="AF41" s="89"/>
      <c r="AG41" s="89"/>
    </row>
    <row r="42" spans="1:33" x14ac:dyDescent="0.3">
      <c r="A42" s="89"/>
      <c r="B42" s="432">
        <f>SUM(E43)</f>
        <v>0.06</v>
      </c>
      <c r="C42" s="73"/>
      <c r="D42" s="73"/>
      <c r="E42" s="78"/>
      <c r="F42" s="229"/>
      <c r="G42" s="229"/>
      <c r="H42" s="229"/>
      <c r="I42" s="229"/>
      <c r="J42" s="229"/>
      <c r="K42" s="229"/>
      <c r="L42" s="229"/>
      <c r="M42" s="229"/>
      <c r="N42" s="229"/>
      <c r="O42" s="230"/>
      <c r="P42" s="230"/>
      <c r="Q42" s="229"/>
      <c r="R42" s="229"/>
      <c r="S42" s="231"/>
      <c r="T42" s="231"/>
      <c r="U42" s="229"/>
      <c r="V42" s="232"/>
      <c r="W42" s="89"/>
      <c r="X42" s="203"/>
      <c r="Y42" s="219"/>
      <c r="Z42" s="219"/>
      <c r="AA42" s="220"/>
      <c r="AB42" s="91"/>
      <c r="AC42" s="89"/>
      <c r="AD42" s="89"/>
      <c r="AE42" s="89"/>
      <c r="AF42" s="89"/>
      <c r="AG42" s="89"/>
    </row>
    <row r="43" spans="1:33" x14ac:dyDescent="0.3">
      <c r="A43" s="89"/>
      <c r="B43" s="433"/>
      <c r="C43" s="79" t="s">
        <v>25</v>
      </c>
      <c r="D43" s="79"/>
      <c r="E43" s="80">
        <v>0.06</v>
      </c>
      <c r="F43" s="89"/>
      <c r="G43" s="244" t="s">
        <v>24</v>
      </c>
      <c r="H43" s="244" t="s">
        <v>24</v>
      </c>
      <c r="I43" s="244" t="s">
        <v>24</v>
      </c>
      <c r="J43" s="244"/>
      <c r="K43" s="244"/>
      <c r="L43" s="244" t="s">
        <v>24</v>
      </c>
      <c r="M43" s="435" t="s">
        <v>24</v>
      </c>
      <c r="N43" s="435"/>
      <c r="O43" s="245">
        <f>E43</f>
        <v>0.06</v>
      </c>
      <c r="P43" s="227" t="s">
        <v>26</v>
      </c>
      <c r="Q43" s="227"/>
      <c r="R43" s="227"/>
      <c r="S43" s="226"/>
      <c r="T43" s="226"/>
      <c r="U43" s="246">
        <f>U52*O43</f>
        <v>160452.85965254734</v>
      </c>
      <c r="V43" s="233"/>
      <c r="W43" s="89"/>
      <c r="X43" s="462"/>
      <c r="Y43" s="462"/>
      <c r="Z43" s="219"/>
      <c r="AA43" s="220"/>
      <c r="AB43" s="91"/>
      <c r="AC43" s="89"/>
      <c r="AD43" s="89"/>
      <c r="AE43" s="89"/>
      <c r="AF43" s="89"/>
      <c r="AG43" s="89"/>
    </row>
    <row r="44" spans="1:33" x14ac:dyDescent="0.3">
      <c r="A44" s="89"/>
      <c r="B44" s="434"/>
      <c r="C44" s="69"/>
      <c r="D44" s="69"/>
      <c r="E44" s="81"/>
      <c r="F44" s="234"/>
      <c r="G44" s="234"/>
      <c r="H44" s="234"/>
      <c r="I44" s="234"/>
      <c r="J44" s="234"/>
      <c r="K44" s="234"/>
      <c r="L44" s="234"/>
      <c r="M44" s="247"/>
      <c r="N44" s="247"/>
      <c r="O44" s="235"/>
      <c r="P44" s="235"/>
      <c r="Q44" s="234"/>
      <c r="R44" s="234"/>
      <c r="S44" s="236"/>
      <c r="T44" s="236"/>
      <c r="U44" s="234"/>
      <c r="V44" s="237"/>
      <c r="W44" s="89"/>
      <c r="X44" s="203"/>
      <c r="Y44" s="219"/>
      <c r="Z44" s="219"/>
      <c r="AA44" s="220"/>
      <c r="AB44" s="91"/>
      <c r="AC44" s="89"/>
      <c r="AD44" s="89"/>
      <c r="AE44" s="89"/>
      <c r="AF44" s="89"/>
      <c r="AG44" s="89"/>
    </row>
    <row r="45" spans="1:33" x14ac:dyDescent="0.3">
      <c r="A45" s="89"/>
      <c r="B45" s="89"/>
      <c r="C45" s="71"/>
      <c r="D45" s="64"/>
      <c r="E45" s="72"/>
      <c r="F45" s="89"/>
      <c r="G45" s="89"/>
      <c r="H45" s="89"/>
      <c r="I45" s="89"/>
      <c r="J45" s="89"/>
      <c r="K45" s="89"/>
      <c r="L45" s="89"/>
      <c r="M45" s="243"/>
      <c r="N45" s="243"/>
      <c r="O45" s="202"/>
      <c r="P45" s="202"/>
      <c r="Q45" s="89"/>
      <c r="R45" s="89"/>
      <c r="S45" s="203"/>
      <c r="T45" s="203"/>
      <c r="U45" s="89"/>
      <c r="V45" s="223"/>
      <c r="W45" s="89"/>
      <c r="X45" s="203"/>
      <c r="Y45" s="219"/>
      <c r="Z45" s="219"/>
      <c r="AA45" s="220"/>
      <c r="AB45" s="91"/>
      <c r="AC45" s="89"/>
      <c r="AD45" s="89"/>
      <c r="AE45" s="89"/>
      <c r="AF45" s="89"/>
      <c r="AG45" s="89"/>
    </row>
    <row r="46" spans="1:33" x14ac:dyDescent="0.3">
      <c r="A46" s="89"/>
      <c r="B46" s="424">
        <f>SUM(E47)</f>
        <v>0.12</v>
      </c>
      <c r="C46" s="73"/>
      <c r="D46" s="73"/>
      <c r="E46" s="74"/>
      <c r="F46" s="229"/>
      <c r="G46" s="229"/>
      <c r="H46" s="229"/>
      <c r="I46" s="229"/>
      <c r="J46" s="229"/>
      <c r="K46" s="229"/>
      <c r="L46" s="229"/>
      <c r="M46" s="248"/>
      <c r="N46" s="248"/>
      <c r="O46" s="230"/>
      <c r="P46" s="230"/>
      <c r="Q46" s="229"/>
      <c r="R46" s="229"/>
      <c r="S46" s="231"/>
      <c r="T46" s="231"/>
      <c r="U46" s="229"/>
      <c r="V46" s="232"/>
      <c r="W46" s="89"/>
      <c r="X46" s="203"/>
      <c r="Y46" s="219"/>
      <c r="Z46" s="219"/>
      <c r="AA46" s="220"/>
      <c r="AB46" s="91"/>
      <c r="AC46" s="89"/>
      <c r="AD46" s="89"/>
      <c r="AE46" s="89"/>
      <c r="AF46" s="89"/>
      <c r="AG46" s="89"/>
    </row>
    <row r="47" spans="1:33" x14ac:dyDescent="0.3">
      <c r="A47" s="89"/>
      <c r="B47" s="425"/>
      <c r="C47" s="79" t="s">
        <v>27</v>
      </c>
      <c r="D47" s="82"/>
      <c r="E47" s="83">
        <v>0.12</v>
      </c>
      <c r="F47" s="89"/>
      <c r="G47" s="244" t="s">
        <v>24</v>
      </c>
      <c r="H47" s="244" t="s">
        <v>24</v>
      </c>
      <c r="I47" s="244" t="s">
        <v>24</v>
      </c>
      <c r="J47" s="244"/>
      <c r="K47" s="244"/>
      <c r="L47" s="244" t="s">
        <v>24</v>
      </c>
      <c r="M47" s="249" t="s">
        <v>24</v>
      </c>
      <c r="N47" s="249"/>
      <c r="O47" s="250">
        <f>E47</f>
        <v>0.12</v>
      </c>
      <c r="P47" s="89" t="s">
        <v>28</v>
      </c>
      <c r="Q47" s="89"/>
      <c r="R47" s="89"/>
      <c r="S47" s="203"/>
      <c r="T47" s="203"/>
      <c r="U47" s="223">
        <f>U52*O47</f>
        <v>320905.71930509468</v>
      </c>
      <c r="V47" s="233"/>
      <c r="W47" s="89"/>
      <c r="X47" s="203"/>
      <c r="Y47" s="219"/>
      <c r="Z47" s="219"/>
      <c r="AA47" s="220"/>
      <c r="AB47" s="91"/>
      <c r="AC47" s="89"/>
      <c r="AD47" s="89"/>
      <c r="AE47" s="89"/>
      <c r="AF47" s="89"/>
      <c r="AG47" s="89"/>
    </row>
    <row r="48" spans="1:33" x14ac:dyDescent="0.3">
      <c r="A48" s="89"/>
      <c r="B48" s="426"/>
      <c r="C48" s="69"/>
      <c r="D48" s="69"/>
      <c r="E48" s="70"/>
      <c r="F48" s="234"/>
      <c r="G48" s="234"/>
      <c r="H48" s="234"/>
      <c r="I48" s="234"/>
      <c r="J48" s="234"/>
      <c r="K48" s="234"/>
      <c r="L48" s="234"/>
      <c r="M48" s="247"/>
      <c r="N48" s="247"/>
      <c r="O48" s="235"/>
      <c r="P48" s="235"/>
      <c r="Q48" s="234"/>
      <c r="R48" s="234"/>
      <c r="S48" s="236"/>
      <c r="T48" s="236"/>
      <c r="U48" s="234"/>
      <c r="V48" s="237"/>
      <c r="W48" s="89"/>
      <c r="X48" s="203"/>
      <c r="Y48" s="219"/>
      <c r="Z48" s="219"/>
      <c r="AA48" s="220"/>
      <c r="AB48" s="91"/>
      <c r="AC48" s="89"/>
      <c r="AD48" s="89"/>
      <c r="AE48" s="89"/>
      <c r="AF48" s="89"/>
      <c r="AG48" s="89"/>
    </row>
    <row r="49" spans="1:33" x14ac:dyDescent="0.3">
      <c r="A49" s="89"/>
      <c r="B49" s="89"/>
      <c r="C49" s="90"/>
      <c r="D49" s="90"/>
      <c r="E49" s="251"/>
      <c r="F49" s="89"/>
      <c r="G49" s="89"/>
      <c r="H49" s="89"/>
      <c r="I49" s="89"/>
      <c r="J49" s="89"/>
      <c r="K49" s="89"/>
      <c r="L49" s="89"/>
      <c r="M49" s="89"/>
      <c r="N49" s="89"/>
      <c r="O49" s="202"/>
      <c r="P49" s="202"/>
      <c r="Q49" s="89"/>
      <c r="R49" s="89"/>
      <c r="S49" s="203"/>
      <c r="T49" s="203"/>
      <c r="U49" s="89"/>
      <c r="V49" s="223"/>
      <c r="W49" s="89"/>
      <c r="X49" s="203"/>
      <c r="Y49" s="219"/>
      <c r="Z49" s="219"/>
      <c r="AA49" s="220"/>
      <c r="AB49" s="91"/>
      <c r="AC49" s="89"/>
      <c r="AD49" s="89"/>
      <c r="AE49" s="89"/>
      <c r="AF49" s="89"/>
      <c r="AG49" s="89"/>
    </row>
    <row r="50" spans="1:33" x14ac:dyDescent="0.3">
      <c r="A50" s="89"/>
      <c r="B50" s="89"/>
      <c r="C50" s="90"/>
      <c r="D50" s="90"/>
      <c r="E50" s="91"/>
      <c r="F50" s="89"/>
      <c r="G50" s="89"/>
      <c r="H50" s="89"/>
      <c r="I50" s="89"/>
      <c r="J50" s="89"/>
      <c r="K50" s="89"/>
      <c r="L50" s="89"/>
      <c r="M50" s="89"/>
      <c r="N50" s="89"/>
      <c r="O50" s="202"/>
      <c r="P50" s="202"/>
      <c r="Q50" s="89"/>
      <c r="R50" s="89"/>
      <c r="S50" s="203"/>
      <c r="T50" s="203"/>
      <c r="U50" s="89"/>
      <c r="V50" s="223"/>
      <c r="W50" s="89"/>
      <c r="X50" s="203"/>
      <c r="Y50" s="219"/>
      <c r="Z50" s="219"/>
      <c r="AA50" s="220"/>
      <c r="AB50" s="91"/>
      <c r="AC50" s="89"/>
      <c r="AD50" s="89"/>
      <c r="AE50" s="89"/>
      <c r="AF50" s="89"/>
      <c r="AG50" s="89"/>
    </row>
    <row r="51" spans="1:33" x14ac:dyDescent="0.3">
      <c r="A51" s="89"/>
      <c r="B51" s="89"/>
      <c r="C51" s="90"/>
      <c r="D51" s="90"/>
      <c r="E51" s="91"/>
      <c r="F51" s="89"/>
      <c r="G51" s="89"/>
      <c r="H51" s="89"/>
      <c r="I51" s="89"/>
      <c r="J51" s="89"/>
      <c r="K51" s="89"/>
      <c r="L51" s="89"/>
      <c r="M51" s="89"/>
      <c r="N51" s="89"/>
      <c r="O51" s="202"/>
      <c r="P51" s="202"/>
      <c r="Q51" s="89"/>
      <c r="R51" s="89"/>
      <c r="S51" s="203"/>
      <c r="T51" s="203"/>
      <c r="U51" s="89"/>
      <c r="V51" s="223"/>
      <c r="W51" s="89"/>
      <c r="X51" s="203"/>
      <c r="Y51" s="219"/>
      <c r="Z51" s="219"/>
      <c r="AA51" s="220"/>
      <c r="AB51" s="91"/>
      <c r="AC51" s="89"/>
      <c r="AD51" s="89"/>
      <c r="AE51" s="89"/>
      <c r="AF51" s="89"/>
      <c r="AG51" s="89"/>
    </row>
    <row r="52" spans="1:33" s="85" customFormat="1" ht="15.6" customHeight="1" x14ac:dyDescent="0.3">
      <c r="A52" s="89"/>
      <c r="C52" s="86"/>
      <c r="D52" s="86"/>
      <c r="E52" s="87"/>
      <c r="O52" s="96">
        <f>SUM(O27:O49)</f>
        <v>1</v>
      </c>
      <c r="P52" s="413" t="s">
        <v>32</v>
      </c>
      <c r="Q52" s="413"/>
      <c r="R52" s="413"/>
      <c r="S52" s="413"/>
      <c r="T52" s="413"/>
      <c r="U52" s="95">
        <f>U29/Q29</f>
        <v>2674214.3275424559</v>
      </c>
      <c r="V52" s="88"/>
      <c r="X52" s="92"/>
      <c r="Y52" s="93"/>
      <c r="Z52" s="93"/>
      <c r="AA52" s="94"/>
      <c r="AB52" s="87"/>
    </row>
    <row r="53" spans="1:33" x14ac:dyDescent="0.3">
      <c r="A53" s="89"/>
      <c r="B53" s="89"/>
      <c r="C53" s="90"/>
      <c r="D53" s="90"/>
      <c r="E53" s="91"/>
      <c r="F53" s="89"/>
      <c r="G53" s="89"/>
      <c r="H53" s="89"/>
      <c r="I53" s="89"/>
      <c r="J53" s="89"/>
      <c r="K53" s="89"/>
      <c r="L53" s="89"/>
      <c r="M53" s="89"/>
      <c r="N53" s="89"/>
      <c r="O53" s="202"/>
      <c r="P53" s="202"/>
      <c r="Q53" s="89"/>
      <c r="R53" s="89"/>
      <c r="S53" s="203"/>
      <c r="T53" s="203"/>
      <c r="U53" s="89"/>
      <c r="V53" s="223"/>
      <c r="W53" s="89"/>
      <c r="X53" s="203"/>
      <c r="Y53" s="219"/>
      <c r="Z53" s="219"/>
      <c r="AA53" s="220"/>
      <c r="AB53" s="91"/>
      <c r="AC53" s="89"/>
      <c r="AD53" s="89"/>
      <c r="AE53" s="89"/>
      <c r="AF53" s="89"/>
      <c r="AG53" s="89"/>
    </row>
    <row r="54" spans="1:33" x14ac:dyDescent="0.3">
      <c r="A54" s="89"/>
      <c r="B54" s="89"/>
      <c r="C54" s="90"/>
      <c r="D54" s="90"/>
      <c r="E54" s="91"/>
      <c r="F54" s="89"/>
      <c r="G54" s="89"/>
      <c r="H54" s="89"/>
      <c r="I54" s="89"/>
      <c r="J54" s="89"/>
      <c r="K54" s="89"/>
      <c r="L54" s="89"/>
      <c r="M54" s="89"/>
      <c r="N54" s="89"/>
      <c r="O54" s="202"/>
      <c r="P54" s="202"/>
      <c r="Q54" s="89"/>
      <c r="R54" s="89"/>
      <c r="S54" s="203"/>
      <c r="T54" s="203"/>
      <c r="U54" s="89"/>
      <c r="V54" s="223"/>
      <c r="W54" s="89"/>
      <c r="X54" s="203"/>
      <c r="Y54" s="219"/>
      <c r="Z54" s="219"/>
      <c r="AA54" s="220"/>
      <c r="AB54" s="91"/>
      <c r="AC54" s="89"/>
      <c r="AD54" s="89"/>
      <c r="AE54" s="89"/>
      <c r="AF54" s="89"/>
      <c r="AG54" s="89"/>
    </row>
    <row r="55" spans="1:33" x14ac:dyDescent="0.3">
      <c r="A55" s="89"/>
      <c r="B55" s="89"/>
      <c r="C55" s="90"/>
      <c r="D55" s="90"/>
      <c r="E55" s="91"/>
      <c r="F55" s="89"/>
      <c r="G55" s="89"/>
      <c r="H55" s="89"/>
      <c r="I55" s="89"/>
      <c r="J55" s="89"/>
      <c r="K55" s="89"/>
      <c r="L55" s="89"/>
      <c r="M55" s="89"/>
      <c r="N55" s="89"/>
      <c r="O55" s="84"/>
      <c r="P55" s="252" t="s">
        <v>7</v>
      </c>
      <c r="Q55" s="227"/>
      <c r="R55" s="227"/>
      <c r="S55" s="226"/>
      <c r="T55" s="226"/>
      <c r="U55" s="253">
        <v>0</v>
      </c>
      <c r="V55" s="223"/>
      <c r="W55" s="89"/>
      <c r="X55" s="203"/>
      <c r="Y55" s="219"/>
      <c r="Z55" s="219"/>
      <c r="AA55" s="220"/>
      <c r="AB55" s="91"/>
      <c r="AC55" s="89"/>
      <c r="AD55" s="89"/>
      <c r="AE55" s="89"/>
      <c r="AF55" s="89"/>
      <c r="AG55" s="89"/>
    </row>
    <row r="56" spans="1:33" x14ac:dyDescent="0.3">
      <c r="A56" s="89"/>
      <c r="B56" s="89"/>
      <c r="C56" s="90"/>
      <c r="D56" s="90"/>
      <c r="E56" s="91"/>
      <c r="F56" s="89"/>
      <c r="G56" s="89"/>
      <c r="H56" s="89"/>
      <c r="I56" s="89"/>
      <c r="J56" s="89"/>
      <c r="K56" s="89"/>
      <c r="L56" s="89"/>
      <c r="M56" s="89"/>
      <c r="N56" s="89"/>
      <c r="O56" s="202"/>
      <c r="P56" s="202"/>
      <c r="Q56" s="89"/>
      <c r="R56" s="89"/>
      <c r="S56" s="203"/>
      <c r="T56" s="203"/>
      <c r="U56" s="89"/>
      <c r="V56" s="223"/>
      <c r="W56" s="89"/>
      <c r="X56" s="203"/>
      <c r="Y56" s="219"/>
      <c r="Z56" s="219"/>
      <c r="AA56" s="220"/>
      <c r="AB56" s="91"/>
      <c r="AC56" s="89"/>
      <c r="AD56" s="89"/>
      <c r="AE56" s="89"/>
      <c r="AF56" s="89"/>
      <c r="AG56" s="89"/>
    </row>
    <row r="57" spans="1:33" x14ac:dyDescent="0.3">
      <c r="A57" s="89"/>
      <c r="B57" s="89"/>
      <c r="C57" s="90"/>
      <c r="D57" s="90"/>
      <c r="E57" s="91"/>
      <c r="F57" s="89"/>
      <c r="G57" s="89"/>
      <c r="H57" s="89"/>
      <c r="I57" s="89"/>
      <c r="J57" s="89"/>
      <c r="K57" s="89"/>
      <c r="L57" s="89"/>
      <c r="M57" s="89"/>
      <c r="N57" s="89"/>
      <c r="O57" s="84"/>
      <c r="P57" s="252" t="s">
        <v>33</v>
      </c>
      <c r="Q57" s="227"/>
      <c r="R57" s="227"/>
      <c r="S57" s="226"/>
      <c r="T57" s="226"/>
      <c r="U57" s="246">
        <v>0</v>
      </c>
      <c r="V57" s="223"/>
      <c r="W57" s="89"/>
      <c r="X57" s="203"/>
      <c r="Y57" s="219"/>
      <c r="Z57" s="219"/>
      <c r="AA57" s="220"/>
      <c r="AB57" s="91"/>
      <c r="AC57" s="89"/>
      <c r="AD57" s="89"/>
      <c r="AE57" s="89"/>
      <c r="AF57" s="89"/>
      <c r="AG57" s="89"/>
    </row>
    <row r="58" spans="1:33" x14ac:dyDescent="0.3">
      <c r="A58" s="89"/>
      <c r="B58" s="89"/>
      <c r="C58" s="90"/>
      <c r="D58" s="90"/>
      <c r="E58" s="91"/>
      <c r="F58" s="89"/>
      <c r="G58" s="89"/>
      <c r="H58" s="89"/>
      <c r="I58" s="89"/>
      <c r="J58" s="89"/>
      <c r="K58" s="89"/>
      <c r="L58" s="89"/>
      <c r="M58" s="89"/>
      <c r="N58" s="89"/>
      <c r="O58" s="202"/>
      <c r="P58" s="202"/>
      <c r="Q58" s="89"/>
      <c r="R58" s="89"/>
      <c r="S58" s="203"/>
      <c r="T58" s="203"/>
      <c r="U58" s="89"/>
      <c r="V58" s="223"/>
      <c r="W58" s="89"/>
      <c r="X58" s="203"/>
      <c r="Y58" s="219"/>
      <c r="Z58" s="219"/>
      <c r="AA58" s="220"/>
      <c r="AB58" s="91"/>
      <c r="AC58" s="89"/>
      <c r="AD58" s="89"/>
      <c r="AE58" s="89"/>
      <c r="AF58" s="89"/>
      <c r="AG58" s="89"/>
    </row>
    <row r="59" spans="1:33" x14ac:dyDescent="0.3">
      <c r="A59" s="89"/>
      <c r="B59" s="89"/>
      <c r="C59" s="90"/>
      <c r="D59" s="90"/>
      <c r="E59" s="91"/>
      <c r="F59" s="89"/>
      <c r="G59" s="89"/>
      <c r="H59" s="89"/>
      <c r="I59" s="89"/>
      <c r="J59" s="89"/>
      <c r="K59" s="89"/>
      <c r="L59" s="89"/>
      <c r="M59" s="89"/>
      <c r="N59" s="89"/>
      <c r="O59" s="84"/>
      <c r="P59" s="252" t="s">
        <v>34</v>
      </c>
      <c r="Q59" s="227"/>
      <c r="R59" s="227"/>
      <c r="S59" s="226"/>
      <c r="T59" s="226"/>
      <c r="U59" s="253">
        <v>0</v>
      </c>
      <c r="V59" s="223"/>
      <c r="W59" s="89"/>
      <c r="X59" s="203"/>
      <c r="Y59" s="219"/>
      <c r="Z59" s="219"/>
      <c r="AA59" s="220"/>
      <c r="AB59" s="91"/>
      <c r="AC59" s="89"/>
      <c r="AD59" s="89"/>
      <c r="AE59" s="89"/>
      <c r="AF59" s="89"/>
      <c r="AG59" s="89"/>
    </row>
    <row r="60" spans="1:33" x14ac:dyDescent="0.3">
      <c r="A60" s="89"/>
      <c r="B60" s="89"/>
      <c r="C60" s="90"/>
      <c r="D60" s="90"/>
      <c r="E60" s="91"/>
      <c r="F60" s="89"/>
      <c r="G60" s="89"/>
      <c r="H60" s="89"/>
      <c r="I60" s="89"/>
      <c r="J60" s="89"/>
      <c r="K60" s="89"/>
      <c r="L60" s="89"/>
      <c r="M60" s="89"/>
      <c r="N60" s="89"/>
      <c r="O60" s="202"/>
      <c r="P60" s="202"/>
      <c r="Q60" s="89"/>
      <c r="R60" s="89"/>
      <c r="S60" s="203"/>
      <c r="T60" s="203"/>
      <c r="U60" s="89"/>
      <c r="V60" s="223"/>
      <c r="W60" s="89"/>
      <c r="X60" s="203"/>
      <c r="Y60" s="219"/>
      <c r="Z60" s="219"/>
      <c r="AA60" s="220"/>
      <c r="AB60" s="91"/>
      <c r="AC60" s="89"/>
      <c r="AD60" s="89"/>
      <c r="AE60" s="89"/>
      <c r="AF60" s="89"/>
      <c r="AG60" s="89"/>
    </row>
    <row r="61" spans="1:33" x14ac:dyDescent="0.3">
      <c r="A61" s="89"/>
      <c r="B61" s="89"/>
      <c r="C61" s="90"/>
      <c r="D61" s="90"/>
      <c r="E61" s="91"/>
      <c r="F61" s="89"/>
      <c r="G61" s="89"/>
      <c r="H61" s="89"/>
      <c r="I61" s="89"/>
      <c r="J61" s="89"/>
      <c r="K61" s="89"/>
      <c r="L61" s="89"/>
      <c r="M61" s="89"/>
      <c r="N61" s="89"/>
      <c r="O61" s="202"/>
      <c r="P61" s="202"/>
      <c r="Q61" s="89"/>
      <c r="R61" s="89"/>
      <c r="S61" s="203"/>
      <c r="T61" s="203"/>
      <c r="U61" s="89"/>
      <c r="V61" s="223"/>
      <c r="W61" s="89"/>
      <c r="X61" s="203"/>
      <c r="Y61" s="219"/>
      <c r="Z61" s="219"/>
      <c r="AA61" s="220"/>
      <c r="AB61" s="91"/>
      <c r="AC61" s="89"/>
      <c r="AD61" s="89"/>
      <c r="AE61" s="89"/>
      <c r="AF61" s="89"/>
      <c r="AG61" s="89"/>
    </row>
    <row r="62" spans="1:33" s="126" customFormat="1" ht="36" customHeight="1" x14ac:dyDescent="0.3">
      <c r="C62" s="254"/>
      <c r="D62" s="254"/>
      <c r="E62" s="255"/>
      <c r="N62" s="414" t="s">
        <v>35</v>
      </c>
      <c r="O62" s="414"/>
      <c r="P62" s="414"/>
      <c r="Q62" s="414"/>
      <c r="R62" s="414"/>
      <c r="S62" s="414"/>
      <c r="T62" s="414"/>
      <c r="U62" s="256">
        <f>SUM(U52:U59)</f>
        <v>2674214.3275424559</v>
      </c>
      <c r="V62" s="128"/>
      <c r="X62" s="127"/>
      <c r="Y62" s="129"/>
      <c r="Z62" s="129"/>
      <c r="AA62" s="257"/>
      <c r="AB62" s="255"/>
    </row>
    <row r="63" spans="1:33" x14ac:dyDescent="0.3">
      <c r="A63" s="261"/>
      <c r="B63" s="261"/>
      <c r="C63" s="262"/>
      <c r="D63" s="262"/>
      <c r="E63" s="263"/>
      <c r="F63" s="261"/>
      <c r="G63" s="261"/>
      <c r="H63" s="261"/>
      <c r="I63" s="261"/>
      <c r="J63" s="261"/>
      <c r="K63" s="261"/>
      <c r="L63" s="261"/>
      <c r="M63" s="264"/>
      <c r="N63" s="264"/>
      <c r="O63" s="261"/>
      <c r="P63" s="261"/>
      <c r="Q63" s="261"/>
      <c r="R63" s="261"/>
      <c r="S63" s="261"/>
      <c r="T63" s="261"/>
      <c r="U63" s="261"/>
      <c r="V63" s="265"/>
      <c r="W63" s="261"/>
      <c r="X63" s="266"/>
      <c r="Y63" s="267"/>
      <c r="Z63" s="267"/>
      <c r="AA63" s="268"/>
      <c r="AB63" s="263"/>
      <c r="AC63" s="261"/>
      <c r="AD63" s="261"/>
      <c r="AE63" s="261"/>
      <c r="AF63" s="261"/>
      <c r="AG63" s="261"/>
    </row>
    <row r="64" spans="1:33" x14ac:dyDescent="0.3">
      <c r="A64" s="261"/>
      <c r="B64" s="261"/>
      <c r="C64" s="262"/>
      <c r="D64" s="262"/>
      <c r="E64" s="263"/>
      <c r="F64" s="261"/>
      <c r="G64" s="261"/>
      <c r="H64" s="261"/>
      <c r="I64" s="261"/>
      <c r="J64" s="261"/>
      <c r="K64" s="261"/>
      <c r="L64" s="261"/>
      <c r="M64" s="264"/>
      <c r="N64" s="264"/>
      <c r="O64" s="261"/>
      <c r="P64" s="261"/>
      <c r="Q64" s="261"/>
      <c r="R64" s="261"/>
      <c r="S64" s="261"/>
      <c r="T64" s="261"/>
      <c r="U64" s="261"/>
      <c r="V64" s="265"/>
      <c r="W64" s="261"/>
      <c r="X64" s="266"/>
      <c r="Y64" s="267"/>
      <c r="Z64" s="267"/>
      <c r="AA64" s="268"/>
      <c r="AB64" s="263"/>
      <c r="AC64" s="261"/>
      <c r="AD64" s="261"/>
      <c r="AE64" s="261"/>
      <c r="AF64" s="261"/>
      <c r="AG64" s="261"/>
    </row>
    <row r="65" spans="1:33" x14ac:dyDescent="0.3">
      <c r="A65" s="261"/>
      <c r="B65" s="261"/>
      <c r="C65" s="262"/>
      <c r="D65" s="269"/>
      <c r="E65" s="270"/>
      <c r="F65" s="271"/>
      <c r="G65" s="271"/>
      <c r="H65" s="271"/>
      <c r="I65" s="271"/>
      <c r="J65" s="271"/>
      <c r="K65" s="271"/>
      <c r="L65" s="271"/>
      <c r="M65" s="271"/>
      <c r="N65" s="271"/>
      <c r="O65" s="272"/>
      <c r="P65" s="272"/>
      <c r="Q65" s="271"/>
      <c r="R65" s="271"/>
      <c r="S65" s="273"/>
      <c r="T65" s="273"/>
      <c r="U65" s="271"/>
      <c r="V65" s="274"/>
      <c r="W65" s="261"/>
      <c r="X65" s="266"/>
      <c r="Y65" s="267"/>
      <c r="Z65" s="267"/>
      <c r="AA65" s="268"/>
      <c r="AB65" s="263"/>
      <c r="AC65" s="261"/>
      <c r="AD65" s="261"/>
      <c r="AE65" s="261"/>
      <c r="AF65" s="261"/>
      <c r="AG65" s="261"/>
    </row>
    <row r="66" spans="1:33" x14ac:dyDescent="0.3">
      <c r="A66" s="261"/>
      <c r="B66" s="261"/>
      <c r="C66" s="262"/>
      <c r="D66" s="262"/>
      <c r="E66" s="263"/>
      <c r="F66" s="261"/>
      <c r="G66" s="410" t="s">
        <v>138</v>
      </c>
      <c r="H66" s="410"/>
      <c r="I66" s="410"/>
      <c r="J66" s="410"/>
      <c r="K66" s="410"/>
      <c r="L66" s="410"/>
      <c r="M66" s="261"/>
      <c r="N66" s="261"/>
      <c r="O66" s="275"/>
      <c r="P66" s="275"/>
      <c r="Q66" s="261"/>
      <c r="R66" s="261"/>
      <c r="S66" s="266"/>
      <c r="T66" s="266"/>
      <c r="U66" s="261"/>
      <c r="V66" s="276"/>
      <c r="W66" s="261"/>
      <c r="X66" s="266"/>
      <c r="Y66" s="267"/>
      <c r="Z66" s="267"/>
      <c r="AA66" s="268"/>
      <c r="AB66" s="263"/>
      <c r="AC66" s="261"/>
      <c r="AD66" s="261"/>
      <c r="AE66" s="261"/>
      <c r="AF66" s="261"/>
      <c r="AG66" s="261"/>
    </row>
    <row r="67" spans="1:33" x14ac:dyDescent="0.3">
      <c r="A67" s="261"/>
      <c r="B67" s="261"/>
      <c r="C67" s="262"/>
      <c r="D67" s="399" t="s">
        <v>139</v>
      </c>
      <c r="E67" s="400"/>
      <c r="F67" s="261"/>
      <c r="G67" s="277" t="s">
        <v>140</v>
      </c>
      <c r="H67" s="278"/>
      <c r="I67" s="279"/>
      <c r="J67" s="280"/>
      <c r="K67" s="280"/>
      <c r="L67" s="281" t="str">
        <f>IF(D69="X", U36, "")</f>
        <v/>
      </c>
      <c r="M67" s="261"/>
      <c r="N67" s="261"/>
      <c r="O67" s="275"/>
      <c r="P67" s="275"/>
      <c r="Q67" s="261"/>
      <c r="R67" s="261"/>
      <c r="S67" s="266"/>
      <c r="T67" s="266"/>
      <c r="U67" s="261"/>
      <c r="V67" s="276"/>
      <c r="W67" s="261"/>
      <c r="X67" s="266"/>
      <c r="Y67" s="267"/>
      <c r="Z67" s="267"/>
      <c r="AA67" s="268"/>
      <c r="AB67" s="263"/>
      <c r="AC67" s="261"/>
      <c r="AD67" s="261"/>
      <c r="AE67" s="261"/>
      <c r="AF67" s="261"/>
      <c r="AG67" s="261"/>
    </row>
    <row r="68" spans="1:33" x14ac:dyDescent="0.3">
      <c r="A68" s="261"/>
      <c r="B68" s="261"/>
      <c r="C68" s="262"/>
      <c r="D68" s="401"/>
      <c r="E68" s="402"/>
      <c r="F68" s="261"/>
      <c r="G68" s="282" t="s">
        <v>141</v>
      </c>
      <c r="H68" s="283"/>
      <c r="I68" s="283"/>
      <c r="J68" s="284"/>
      <c r="K68" s="284"/>
      <c r="L68" s="285">
        <v>0.05</v>
      </c>
      <c r="M68" s="261"/>
      <c r="N68" s="261"/>
      <c r="O68" s="275"/>
      <c r="P68" s="275"/>
      <c r="Q68" s="261"/>
      <c r="R68" s="261"/>
      <c r="S68" s="266"/>
      <c r="T68" s="266"/>
      <c r="U68" s="261"/>
      <c r="V68" s="276"/>
      <c r="W68" s="261"/>
      <c r="X68" s="266"/>
      <c r="Y68" s="267"/>
      <c r="Z68" s="267"/>
      <c r="AA68" s="268"/>
      <c r="AB68" s="263"/>
      <c r="AC68" s="261"/>
      <c r="AD68" s="261"/>
      <c r="AE68" s="261"/>
      <c r="AF68" s="261"/>
      <c r="AG68" s="261"/>
    </row>
    <row r="69" spans="1:33" x14ac:dyDescent="0.3">
      <c r="A69" s="261"/>
      <c r="B69" s="261"/>
      <c r="C69" s="262"/>
      <c r="D69" s="403"/>
      <c r="E69" s="404"/>
      <c r="F69" s="261"/>
      <c r="G69" s="286"/>
      <c r="H69" s="262"/>
      <c r="I69" s="262"/>
      <c r="J69" s="262"/>
      <c r="K69" s="262"/>
      <c r="L69" s="287"/>
      <c r="M69" s="261"/>
      <c r="N69" s="261"/>
      <c r="O69" s="275"/>
      <c r="P69" s="275"/>
      <c r="Q69" s="261"/>
      <c r="R69" s="261"/>
      <c r="S69" s="266"/>
      <c r="T69" s="266"/>
      <c r="U69" s="261"/>
      <c r="V69" s="276"/>
      <c r="W69" s="261"/>
      <c r="X69" s="266"/>
      <c r="Y69" s="267"/>
      <c r="Z69" s="267"/>
      <c r="AA69" s="268"/>
      <c r="AB69" s="263"/>
      <c r="AC69" s="261"/>
      <c r="AD69" s="261"/>
      <c r="AE69" s="261"/>
      <c r="AF69" s="261"/>
      <c r="AG69" s="261"/>
    </row>
    <row r="70" spans="1:33" x14ac:dyDescent="0.3">
      <c r="A70" s="261"/>
      <c r="B70" s="261"/>
      <c r="C70" s="262"/>
      <c r="D70" s="405"/>
      <c r="E70" s="406"/>
      <c r="F70" s="261"/>
      <c r="G70" s="288" t="s">
        <v>142</v>
      </c>
      <c r="H70" s="283"/>
      <c r="I70" s="283"/>
      <c r="J70" s="283"/>
      <c r="K70" s="283"/>
      <c r="L70" s="289" t="str">
        <f>IF(D69="x",L67*L68,"")</f>
        <v/>
      </c>
      <c r="M70" s="411" t="s">
        <v>24</v>
      </c>
      <c r="N70" s="412"/>
      <c r="O70" s="290"/>
      <c r="P70" s="291" t="s">
        <v>143</v>
      </c>
      <c r="Q70" s="292"/>
      <c r="R70" s="292"/>
      <c r="S70" s="293"/>
      <c r="T70" s="293"/>
      <c r="U70" s="294" t="str">
        <f>L70</f>
        <v/>
      </c>
      <c r="V70" s="276"/>
      <c r="W70" s="261"/>
      <c r="X70" s="266"/>
      <c r="Y70" s="267"/>
      <c r="Z70" s="267"/>
      <c r="AA70" s="268"/>
      <c r="AB70" s="263"/>
      <c r="AC70" s="261"/>
      <c r="AD70" s="261"/>
      <c r="AE70" s="261"/>
      <c r="AF70" s="261"/>
      <c r="AG70" s="261"/>
    </row>
    <row r="71" spans="1:33" x14ac:dyDescent="0.3">
      <c r="A71" s="261"/>
      <c r="B71" s="261"/>
      <c r="C71" s="262"/>
      <c r="D71" s="262"/>
      <c r="E71" s="263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1"/>
      <c r="V71" s="276"/>
      <c r="W71" s="261"/>
      <c r="X71" s="266"/>
      <c r="Y71" s="267"/>
      <c r="Z71" s="267"/>
      <c r="AA71" s="268"/>
      <c r="AB71" s="263"/>
      <c r="AC71" s="261"/>
      <c r="AD71" s="261"/>
      <c r="AE71" s="261"/>
      <c r="AF71" s="261"/>
      <c r="AG71" s="261"/>
    </row>
    <row r="72" spans="1:33" x14ac:dyDescent="0.3">
      <c r="A72" s="261"/>
      <c r="B72" s="261"/>
      <c r="C72" s="262"/>
      <c r="D72" s="295"/>
      <c r="E72" s="296"/>
      <c r="F72" s="297"/>
      <c r="G72" s="297"/>
      <c r="H72" s="297"/>
      <c r="I72" s="297"/>
      <c r="J72" s="297"/>
      <c r="K72" s="297"/>
      <c r="L72" s="297"/>
      <c r="M72" s="297"/>
      <c r="N72" s="297"/>
      <c r="O72" s="298"/>
      <c r="P72" s="298"/>
      <c r="Q72" s="297"/>
      <c r="R72" s="297"/>
      <c r="S72" s="299"/>
      <c r="T72" s="299"/>
      <c r="U72" s="297"/>
      <c r="V72" s="300"/>
      <c r="W72" s="261"/>
      <c r="X72" s="266"/>
      <c r="Y72" s="267"/>
      <c r="Z72" s="267"/>
      <c r="AA72" s="268"/>
      <c r="AB72" s="263"/>
      <c r="AC72" s="261"/>
      <c r="AD72" s="261"/>
      <c r="AE72" s="261"/>
      <c r="AF72" s="261"/>
      <c r="AG72" s="261"/>
    </row>
    <row r="73" spans="1:33" x14ac:dyDescent="0.3">
      <c r="A73" s="261"/>
      <c r="B73" s="261"/>
      <c r="C73" s="262"/>
      <c r="D73" s="262"/>
      <c r="E73" s="263"/>
      <c r="F73" s="261"/>
      <c r="G73" s="261"/>
      <c r="H73" s="261"/>
      <c r="I73" s="261"/>
      <c r="J73" s="261"/>
      <c r="K73" s="261"/>
      <c r="L73" s="261"/>
      <c r="M73" s="264"/>
      <c r="N73" s="264"/>
      <c r="O73" s="261"/>
      <c r="P73" s="261"/>
      <c r="Q73" s="261"/>
      <c r="R73" s="261"/>
      <c r="S73" s="261"/>
      <c r="T73" s="261"/>
      <c r="U73" s="261"/>
      <c r="V73" s="265"/>
      <c r="W73" s="261"/>
      <c r="X73" s="266"/>
      <c r="Y73" s="267"/>
      <c r="Z73" s="267"/>
      <c r="AA73" s="268"/>
      <c r="AB73" s="263"/>
      <c r="AC73" s="261"/>
      <c r="AD73" s="261"/>
      <c r="AE73" s="261"/>
      <c r="AF73" s="261"/>
      <c r="AG73" s="261"/>
    </row>
    <row r="74" spans="1:33" x14ac:dyDescent="0.3">
      <c r="A74" s="261"/>
      <c r="B74" s="261"/>
      <c r="C74" s="262"/>
      <c r="D74" s="262"/>
      <c r="E74" s="263"/>
      <c r="F74" s="261"/>
      <c r="G74" s="261"/>
      <c r="H74" s="261"/>
      <c r="I74" s="261"/>
      <c r="J74" s="261"/>
      <c r="K74" s="261"/>
      <c r="L74" s="261"/>
      <c r="M74" s="264"/>
      <c r="N74" s="264"/>
      <c r="O74" s="261"/>
      <c r="P74" s="261"/>
      <c r="Q74" s="261"/>
      <c r="R74" s="261"/>
      <c r="S74" s="261"/>
      <c r="T74" s="261"/>
      <c r="U74" s="261"/>
      <c r="V74" s="265"/>
      <c r="W74" s="261"/>
      <c r="X74" s="266"/>
      <c r="Y74" s="267"/>
      <c r="Z74" s="267"/>
      <c r="AA74" s="268"/>
      <c r="AB74" s="263"/>
      <c r="AC74" s="261"/>
      <c r="AD74" s="261"/>
      <c r="AE74" s="261"/>
      <c r="AF74" s="261"/>
      <c r="AG74" s="261"/>
    </row>
    <row r="75" spans="1:33" x14ac:dyDescent="0.3">
      <c r="A75" s="261"/>
      <c r="B75" s="261"/>
      <c r="C75" s="97"/>
      <c r="D75" s="302"/>
      <c r="E75" s="303"/>
      <c r="F75" s="304"/>
      <c r="G75" s="304"/>
      <c r="H75" s="304"/>
      <c r="I75" s="304"/>
      <c r="J75" s="304"/>
      <c r="K75" s="304"/>
      <c r="L75" s="304"/>
      <c r="M75" s="304"/>
      <c r="N75" s="304"/>
      <c r="O75" s="305"/>
      <c r="P75" s="305"/>
      <c r="Q75" s="304"/>
      <c r="R75" s="304"/>
      <c r="S75" s="306"/>
      <c r="T75" s="306"/>
      <c r="U75" s="304"/>
      <c r="V75" s="307"/>
      <c r="W75" s="261"/>
      <c r="X75" s="266"/>
      <c r="Y75" s="267"/>
      <c r="Z75" s="267"/>
      <c r="AA75" s="268"/>
      <c r="AB75" s="263"/>
      <c r="AC75" s="261"/>
      <c r="AD75" s="261"/>
      <c r="AE75" s="261"/>
      <c r="AF75" s="261"/>
      <c r="AG75" s="261"/>
    </row>
    <row r="76" spans="1:33" x14ac:dyDescent="0.3">
      <c r="A76" s="261"/>
      <c r="B76" s="261"/>
      <c r="C76" s="97"/>
      <c r="D76" s="97"/>
      <c r="E76" s="308"/>
      <c r="F76" s="98"/>
      <c r="G76" s="408" t="s">
        <v>144</v>
      </c>
      <c r="H76" s="408"/>
      <c r="I76" s="408"/>
      <c r="J76" s="408"/>
      <c r="K76" s="408"/>
      <c r="L76" s="408"/>
      <c r="M76" s="98"/>
      <c r="N76" s="98"/>
      <c r="O76" s="309"/>
      <c r="P76" s="309"/>
      <c r="Q76" s="98"/>
      <c r="R76" s="98"/>
      <c r="S76" s="310"/>
      <c r="T76" s="310"/>
      <c r="U76" s="98"/>
      <c r="V76" s="311"/>
      <c r="W76" s="261"/>
      <c r="X76" s="266"/>
      <c r="Y76" s="267"/>
      <c r="Z76" s="267"/>
      <c r="AA76" s="268"/>
      <c r="AB76" s="263"/>
      <c r="AC76" s="261"/>
      <c r="AD76" s="261"/>
      <c r="AE76" s="261"/>
      <c r="AF76" s="261"/>
      <c r="AG76" s="261"/>
    </row>
    <row r="77" spans="1:33" x14ac:dyDescent="0.3">
      <c r="A77" s="261"/>
      <c r="B77" s="261"/>
      <c r="C77" s="97"/>
      <c r="D77" s="97"/>
      <c r="E77" s="308"/>
      <c r="F77" s="98"/>
      <c r="G77" s="409"/>
      <c r="H77" s="409"/>
      <c r="I77" s="409"/>
      <c r="J77" s="409"/>
      <c r="K77" s="409"/>
      <c r="L77" s="409"/>
      <c r="M77" s="98"/>
      <c r="N77" s="98"/>
      <c r="O77" s="309"/>
      <c r="P77" s="309"/>
      <c r="Q77" s="98"/>
      <c r="R77" s="98"/>
      <c r="S77" s="310"/>
      <c r="T77" s="310"/>
      <c r="U77" s="98"/>
      <c r="V77" s="311"/>
      <c r="W77" s="261"/>
      <c r="X77" s="266"/>
      <c r="Y77" s="267"/>
      <c r="Z77" s="267"/>
      <c r="AA77" s="268"/>
      <c r="AB77" s="263"/>
      <c r="AC77" s="261"/>
      <c r="AD77" s="261"/>
      <c r="AE77" s="261"/>
      <c r="AF77" s="261"/>
      <c r="AG77" s="261"/>
    </row>
    <row r="78" spans="1:33" x14ac:dyDescent="0.3">
      <c r="A78" s="261"/>
      <c r="B78" s="261"/>
      <c r="C78" s="97"/>
      <c r="D78" s="97"/>
      <c r="E78" s="308"/>
      <c r="F78" s="98"/>
      <c r="G78" s="98"/>
      <c r="H78" s="98"/>
      <c r="I78" s="98"/>
      <c r="J78" s="98"/>
      <c r="K78" s="98"/>
      <c r="L78" s="98"/>
      <c r="M78" s="98"/>
      <c r="N78" s="98"/>
      <c r="O78" s="309"/>
      <c r="P78" s="309"/>
      <c r="Q78" s="98"/>
      <c r="R78" s="98"/>
      <c r="S78" s="310"/>
      <c r="T78" s="310"/>
      <c r="U78" s="98"/>
      <c r="V78" s="311"/>
      <c r="W78" s="261"/>
      <c r="X78" s="266"/>
      <c r="Y78" s="267"/>
      <c r="Z78" s="267"/>
      <c r="AA78" s="268"/>
      <c r="AB78" s="263"/>
      <c r="AC78" s="261"/>
      <c r="AD78" s="261"/>
      <c r="AE78" s="261"/>
      <c r="AF78" s="261"/>
      <c r="AG78" s="261"/>
    </row>
    <row r="79" spans="1:33" x14ac:dyDescent="0.3">
      <c r="A79" s="261"/>
      <c r="B79" s="261"/>
      <c r="C79" s="97"/>
      <c r="D79" s="97"/>
      <c r="E79" s="308"/>
      <c r="F79" s="98"/>
      <c r="G79" s="398" t="s">
        <v>145</v>
      </c>
      <c r="H79" s="398"/>
      <c r="I79" s="398"/>
      <c r="J79" s="398"/>
      <c r="K79" s="398"/>
      <c r="L79" s="398"/>
      <c r="M79" s="98"/>
      <c r="N79" s="98"/>
      <c r="O79" s="98"/>
      <c r="P79" s="98"/>
      <c r="Q79" s="98"/>
      <c r="R79" s="98"/>
      <c r="S79" s="98"/>
      <c r="T79" s="98"/>
      <c r="U79" s="98"/>
      <c r="V79" s="311"/>
      <c r="W79" s="261"/>
      <c r="X79" s="266"/>
      <c r="Y79" s="267"/>
      <c r="Z79" s="267"/>
      <c r="AA79" s="268"/>
      <c r="AB79" s="263"/>
      <c r="AC79" s="261"/>
      <c r="AD79" s="261"/>
      <c r="AE79" s="261"/>
      <c r="AF79" s="261"/>
      <c r="AG79" s="261"/>
    </row>
    <row r="80" spans="1:33" x14ac:dyDescent="0.3">
      <c r="A80" s="261"/>
      <c r="B80" s="261"/>
      <c r="C80" s="97"/>
      <c r="D80" s="399" t="s">
        <v>139</v>
      </c>
      <c r="E80" s="400"/>
      <c r="F80" s="98"/>
      <c r="G80" s="312" t="s">
        <v>140</v>
      </c>
      <c r="H80" s="313"/>
      <c r="I80" s="314"/>
      <c r="J80" s="314"/>
      <c r="K80" s="314"/>
      <c r="L80" s="315" t="str">
        <f>IF(D82="x",U36,"")</f>
        <v/>
      </c>
      <c r="M80" s="316"/>
      <c r="N80" s="98"/>
      <c r="O80" s="98"/>
      <c r="P80" s="98"/>
      <c r="Q80" s="98"/>
      <c r="R80" s="98"/>
      <c r="S80" s="98"/>
      <c r="T80" s="98"/>
      <c r="U80" s="98"/>
      <c r="V80" s="311"/>
      <c r="W80" s="261"/>
      <c r="X80" s="266"/>
      <c r="Y80" s="267"/>
      <c r="Z80" s="267"/>
      <c r="AA80" s="268"/>
      <c r="AB80" s="263"/>
      <c r="AC80" s="261"/>
      <c r="AD80" s="261"/>
      <c r="AE80" s="261"/>
      <c r="AF80" s="261"/>
      <c r="AG80" s="261"/>
    </row>
    <row r="81" spans="1:33" x14ac:dyDescent="0.3">
      <c r="A81" s="261"/>
      <c r="B81" s="261"/>
      <c r="C81" s="97"/>
      <c r="D81" s="401"/>
      <c r="E81" s="402"/>
      <c r="F81" s="98"/>
      <c r="G81" s="317" t="s">
        <v>146</v>
      </c>
      <c r="H81" s="97"/>
      <c r="I81" s="318"/>
      <c r="J81" s="319"/>
      <c r="K81" s="185"/>
      <c r="L81" s="320" t="str">
        <f>IF(D82="x",#REF!,"")</f>
        <v/>
      </c>
      <c r="M81" s="98"/>
      <c r="N81" s="98"/>
      <c r="O81" s="98"/>
      <c r="P81" s="98"/>
      <c r="Q81" s="98"/>
      <c r="R81" s="98"/>
      <c r="S81" s="98"/>
      <c r="T81" s="98"/>
      <c r="U81" s="98"/>
      <c r="V81" s="311"/>
      <c r="W81" s="261"/>
      <c r="X81" s="266"/>
      <c r="Y81" s="267"/>
      <c r="Z81" s="267"/>
      <c r="AA81" s="268"/>
      <c r="AB81" s="263"/>
      <c r="AC81" s="261"/>
      <c r="AD81" s="261"/>
      <c r="AE81" s="261"/>
      <c r="AF81" s="261"/>
      <c r="AG81" s="261"/>
    </row>
    <row r="82" spans="1:33" x14ac:dyDescent="0.3">
      <c r="A82" s="261"/>
      <c r="B82" s="261"/>
      <c r="C82" s="97"/>
      <c r="D82" s="403"/>
      <c r="E82" s="404"/>
      <c r="F82" s="98"/>
      <c r="G82" s="321" t="s">
        <v>147</v>
      </c>
      <c r="H82" s="318"/>
      <c r="I82" s="318"/>
      <c r="J82" s="322"/>
      <c r="K82" s="318"/>
      <c r="L82" s="323">
        <f>SUM(L80:L81)</f>
        <v>0</v>
      </c>
      <c r="M82" s="98"/>
      <c r="N82" s="98"/>
      <c r="O82" s="98"/>
      <c r="P82" s="98"/>
      <c r="Q82" s="98"/>
      <c r="R82" s="98"/>
      <c r="S82" s="98"/>
      <c r="T82" s="98"/>
      <c r="U82" s="98"/>
      <c r="V82" s="311"/>
      <c r="W82" s="261"/>
      <c r="X82" s="266"/>
      <c r="Y82" s="267"/>
      <c r="Z82" s="267"/>
      <c r="AA82" s="268"/>
      <c r="AB82" s="263"/>
      <c r="AC82" s="261"/>
      <c r="AD82" s="261"/>
      <c r="AE82" s="261"/>
      <c r="AF82" s="261"/>
      <c r="AG82" s="261"/>
    </row>
    <row r="83" spans="1:33" x14ac:dyDescent="0.3">
      <c r="A83" s="261"/>
      <c r="B83" s="261"/>
      <c r="C83" s="97"/>
      <c r="D83" s="405"/>
      <c r="E83" s="406"/>
      <c r="F83" s="98"/>
      <c r="G83" s="317" t="s">
        <v>148</v>
      </c>
      <c r="H83" s="97"/>
      <c r="I83" s="97"/>
      <c r="J83" s="97"/>
      <c r="K83" s="324"/>
      <c r="L83" s="325">
        <v>0.4</v>
      </c>
      <c r="M83" s="392"/>
      <c r="N83" s="392"/>
      <c r="O83" s="98"/>
      <c r="P83" s="98"/>
      <c r="Q83" s="98"/>
      <c r="R83" s="98"/>
      <c r="S83" s="98"/>
      <c r="T83" s="98"/>
      <c r="U83" s="98"/>
      <c r="V83" s="311"/>
      <c r="W83" s="261"/>
      <c r="X83" s="266"/>
      <c r="Y83" s="267"/>
      <c r="Z83" s="267"/>
      <c r="AA83" s="268"/>
      <c r="AB83" s="263"/>
      <c r="AC83" s="261"/>
      <c r="AD83" s="261"/>
      <c r="AE83" s="261"/>
      <c r="AF83" s="261"/>
      <c r="AG83" s="261"/>
    </row>
    <row r="84" spans="1:33" x14ac:dyDescent="0.3">
      <c r="A84" s="261"/>
      <c r="B84" s="261"/>
      <c r="C84" s="97"/>
      <c r="D84" s="97"/>
      <c r="E84" s="308"/>
      <c r="F84" s="98"/>
      <c r="G84" s="321" t="s">
        <v>149</v>
      </c>
      <c r="H84" s="313"/>
      <c r="I84" s="313"/>
      <c r="J84" s="313"/>
      <c r="K84" s="313"/>
      <c r="L84" s="326">
        <v>0.12</v>
      </c>
      <c r="M84" s="98"/>
      <c r="N84" s="98"/>
      <c r="O84" s="98"/>
      <c r="P84" s="98"/>
      <c r="Q84" s="98"/>
      <c r="R84" s="98"/>
      <c r="S84" s="98"/>
      <c r="T84" s="98"/>
      <c r="U84" s="98"/>
      <c r="V84" s="311"/>
      <c r="W84" s="261"/>
      <c r="X84" s="266"/>
      <c r="Y84" s="267"/>
      <c r="Z84" s="267"/>
      <c r="AA84" s="268"/>
      <c r="AB84" s="263"/>
      <c r="AC84" s="261"/>
      <c r="AD84" s="261"/>
      <c r="AE84" s="261"/>
      <c r="AF84" s="261"/>
      <c r="AG84" s="261"/>
    </row>
    <row r="85" spans="1:33" x14ac:dyDescent="0.3">
      <c r="A85" s="261"/>
      <c r="B85" s="261"/>
      <c r="C85" s="97"/>
      <c r="D85" s="97"/>
      <c r="E85" s="308"/>
      <c r="F85" s="98"/>
      <c r="G85" s="321" t="s">
        <v>150</v>
      </c>
      <c r="H85" s="313"/>
      <c r="I85" s="313"/>
      <c r="J85" s="313"/>
      <c r="K85" s="313"/>
      <c r="L85" s="326">
        <v>0.18</v>
      </c>
      <c r="M85" s="98"/>
      <c r="N85" s="98"/>
      <c r="O85" s="98"/>
      <c r="P85" s="98"/>
      <c r="Q85" s="98"/>
      <c r="R85" s="98"/>
      <c r="S85" s="98"/>
      <c r="T85" s="98"/>
      <c r="U85" s="98"/>
      <c r="V85" s="311"/>
      <c r="W85" s="261"/>
      <c r="X85" s="266"/>
      <c r="Y85" s="267"/>
      <c r="Z85" s="267"/>
      <c r="AA85" s="268"/>
      <c r="AB85" s="263"/>
      <c r="AC85" s="261"/>
      <c r="AD85" s="261"/>
      <c r="AE85" s="261"/>
      <c r="AF85" s="261"/>
      <c r="AG85" s="261"/>
    </row>
    <row r="86" spans="1:33" x14ac:dyDescent="0.3">
      <c r="A86" s="261"/>
      <c r="B86" s="261"/>
      <c r="C86" s="97"/>
      <c r="D86" s="97"/>
      <c r="E86" s="308"/>
      <c r="F86" s="98"/>
      <c r="G86" s="327" t="s">
        <v>151</v>
      </c>
      <c r="H86" s="328"/>
      <c r="I86" s="328"/>
      <c r="J86" s="328"/>
      <c r="K86" s="328"/>
      <c r="L86" s="329" t="str">
        <f>IF(D82="x",((1+L83)*(1-L84))/(1-L85)-1,"")</f>
        <v/>
      </c>
      <c r="M86" s="98"/>
      <c r="N86" s="98"/>
      <c r="O86" s="98"/>
      <c r="P86" s="98"/>
      <c r="Q86" s="98"/>
      <c r="R86" s="98"/>
      <c r="S86" s="98"/>
      <c r="T86" s="98"/>
      <c r="U86" s="98"/>
      <c r="V86" s="311"/>
      <c r="W86" s="261"/>
      <c r="X86" s="266"/>
      <c r="Y86" s="267"/>
      <c r="Z86" s="267"/>
      <c r="AA86" s="268"/>
      <c r="AB86" s="263"/>
      <c r="AC86" s="261"/>
      <c r="AD86" s="261"/>
      <c r="AE86" s="261"/>
      <c r="AF86" s="261"/>
      <c r="AG86" s="261"/>
    </row>
    <row r="87" spans="1:33" x14ac:dyDescent="0.3">
      <c r="A87" s="261"/>
      <c r="B87" s="261"/>
      <c r="C87" s="97"/>
      <c r="D87" s="97"/>
      <c r="E87" s="308"/>
      <c r="F87" s="98"/>
      <c r="G87" s="312" t="s">
        <v>152</v>
      </c>
      <c r="H87" s="330"/>
      <c r="I87" s="330"/>
      <c r="J87" s="330"/>
      <c r="K87" s="330"/>
      <c r="L87" s="331" t="str">
        <f>IF(D82="x",L80*(1+L86),"")</f>
        <v/>
      </c>
      <c r="M87" s="332"/>
      <c r="N87" s="332"/>
      <c r="O87" s="309"/>
      <c r="P87" s="333"/>
      <c r="Q87" s="98"/>
      <c r="R87" s="98"/>
      <c r="S87" s="310"/>
      <c r="T87" s="310"/>
      <c r="U87" s="334"/>
      <c r="V87" s="311"/>
      <c r="W87" s="261"/>
      <c r="X87" s="266"/>
      <c r="Y87" s="267"/>
      <c r="Z87" s="267"/>
      <c r="AA87" s="268"/>
      <c r="AB87" s="263"/>
      <c r="AC87" s="261"/>
      <c r="AD87" s="261"/>
      <c r="AE87" s="261"/>
      <c r="AF87" s="261"/>
      <c r="AG87" s="261"/>
    </row>
    <row r="88" spans="1:33" x14ac:dyDescent="0.3">
      <c r="A88" s="261"/>
      <c r="B88" s="261"/>
      <c r="C88" s="97"/>
      <c r="D88" s="97"/>
      <c r="E88" s="308"/>
      <c r="F88" s="98"/>
      <c r="G88" s="312" t="s">
        <v>153</v>
      </c>
      <c r="H88" s="330"/>
      <c r="I88" s="330"/>
      <c r="J88" s="330"/>
      <c r="K88" s="330"/>
      <c r="L88" s="331" t="str">
        <f>IF(D82="x",L87*L85,"")</f>
        <v/>
      </c>
      <c r="M88" s="332"/>
      <c r="N88" s="332"/>
      <c r="O88" s="309"/>
      <c r="P88" s="333"/>
      <c r="Q88" s="98"/>
      <c r="R88" s="98"/>
      <c r="S88" s="310"/>
      <c r="T88" s="310"/>
      <c r="U88" s="334"/>
      <c r="V88" s="311"/>
      <c r="W88" s="261"/>
      <c r="X88" s="266"/>
      <c r="Y88" s="267"/>
      <c r="Z88" s="267"/>
      <c r="AA88" s="268"/>
      <c r="AB88" s="263"/>
      <c r="AC88" s="261"/>
      <c r="AD88" s="261"/>
      <c r="AE88" s="261"/>
      <c r="AF88" s="261"/>
      <c r="AG88" s="261"/>
    </row>
    <row r="89" spans="1:33" x14ac:dyDescent="0.3">
      <c r="A89" s="261"/>
      <c r="B89" s="261"/>
      <c r="C89" s="97"/>
      <c r="D89" s="97"/>
      <c r="E89" s="308"/>
      <c r="F89" s="98"/>
      <c r="G89" s="327" t="s">
        <v>154</v>
      </c>
      <c r="H89" s="328"/>
      <c r="I89" s="328"/>
      <c r="J89" s="328"/>
      <c r="K89" s="328"/>
      <c r="L89" s="335">
        <f>L82*L84</f>
        <v>0</v>
      </c>
      <c r="M89" s="332"/>
      <c r="N89" s="332"/>
      <c r="O89" s="309"/>
      <c r="P89" s="333"/>
      <c r="Q89" s="98"/>
      <c r="R89" s="98"/>
      <c r="S89" s="310"/>
      <c r="T89" s="310"/>
      <c r="U89" s="334"/>
      <c r="V89" s="311"/>
      <c r="W89" s="261"/>
      <c r="X89" s="266"/>
      <c r="Y89" s="267"/>
      <c r="Z89" s="267"/>
      <c r="AA89" s="268"/>
      <c r="AB89" s="263"/>
      <c r="AC89" s="261"/>
      <c r="AD89" s="261"/>
      <c r="AE89" s="261"/>
      <c r="AF89" s="261"/>
      <c r="AG89" s="261"/>
    </row>
    <row r="90" spans="1:33" x14ac:dyDescent="0.3">
      <c r="A90" s="261"/>
      <c r="B90" s="261"/>
      <c r="C90" s="97"/>
      <c r="D90" s="97"/>
      <c r="E90" s="308"/>
      <c r="F90" s="98"/>
      <c r="G90" s="327" t="s">
        <v>155</v>
      </c>
      <c r="H90" s="328"/>
      <c r="I90" s="328"/>
      <c r="J90" s="328"/>
      <c r="K90" s="328"/>
      <c r="L90" s="336" t="str">
        <f>IF(D82="x",L88-L89,"")</f>
        <v/>
      </c>
      <c r="M90" s="397" t="s">
        <v>24</v>
      </c>
      <c r="N90" s="397"/>
      <c r="O90" s="337"/>
      <c r="P90" s="338" t="s">
        <v>156</v>
      </c>
      <c r="Q90" s="339"/>
      <c r="R90" s="339"/>
      <c r="S90" s="340"/>
      <c r="T90" s="340"/>
      <c r="U90" s="341" t="str">
        <f>IF($L$146="","",MAX(0,$L$146))</f>
        <v/>
      </c>
      <c r="V90" s="311"/>
      <c r="W90" s="261"/>
      <c r="X90" s="266"/>
      <c r="Y90" s="267"/>
      <c r="Z90" s="267"/>
      <c r="AA90" s="268"/>
      <c r="AB90" s="263"/>
      <c r="AC90" s="261"/>
      <c r="AD90" s="261"/>
      <c r="AE90" s="261"/>
      <c r="AF90" s="261"/>
      <c r="AG90" s="261"/>
    </row>
    <row r="91" spans="1:33" x14ac:dyDescent="0.3">
      <c r="A91" s="261"/>
      <c r="B91" s="261"/>
      <c r="C91" s="97"/>
      <c r="D91" s="97"/>
      <c r="E91" s="30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311"/>
      <c r="W91" s="261"/>
      <c r="X91" s="266"/>
      <c r="Y91" s="267"/>
      <c r="Z91" s="267"/>
      <c r="AA91" s="268"/>
      <c r="AB91" s="263"/>
      <c r="AC91" s="261"/>
      <c r="AD91" s="261"/>
      <c r="AE91" s="261"/>
      <c r="AF91" s="261"/>
      <c r="AG91" s="261"/>
    </row>
    <row r="92" spans="1:33" x14ac:dyDescent="0.3">
      <c r="A92" s="261"/>
      <c r="B92" s="261"/>
      <c r="C92" s="97"/>
      <c r="D92" s="342"/>
      <c r="E92" s="343"/>
      <c r="F92" s="344"/>
      <c r="G92" s="344"/>
      <c r="H92" s="344"/>
      <c r="I92" s="344"/>
      <c r="J92" s="344"/>
      <c r="K92" s="344"/>
      <c r="L92" s="344"/>
      <c r="M92" s="344"/>
      <c r="N92" s="344"/>
      <c r="O92" s="345"/>
      <c r="P92" s="345"/>
      <c r="Q92" s="344"/>
      <c r="R92" s="344"/>
      <c r="S92" s="346"/>
      <c r="T92" s="346"/>
      <c r="U92" s="344"/>
      <c r="V92" s="347"/>
      <c r="W92" s="261"/>
      <c r="X92" s="266"/>
      <c r="Y92" s="267"/>
      <c r="Z92" s="267"/>
      <c r="AA92" s="268"/>
      <c r="AB92" s="263"/>
      <c r="AC92" s="261"/>
      <c r="AD92" s="261"/>
      <c r="AE92" s="261"/>
      <c r="AF92" s="261"/>
      <c r="AG92" s="261"/>
    </row>
    <row r="93" spans="1:33" x14ac:dyDescent="0.3">
      <c r="A93" s="261"/>
      <c r="B93" s="261"/>
      <c r="C93" s="262"/>
      <c r="D93" s="262"/>
      <c r="E93" s="263"/>
      <c r="F93" s="261"/>
      <c r="G93" s="261"/>
      <c r="H93" s="261"/>
      <c r="I93" s="261"/>
      <c r="J93" s="261"/>
      <c r="K93" s="261"/>
      <c r="L93" s="261"/>
      <c r="M93" s="261"/>
      <c r="N93" s="261"/>
      <c r="O93" s="275"/>
      <c r="P93" s="275"/>
      <c r="Q93" s="261"/>
      <c r="R93" s="261"/>
      <c r="S93" s="266"/>
      <c r="T93" s="266"/>
      <c r="U93" s="261"/>
      <c r="V93" s="265"/>
      <c r="W93" s="261"/>
      <c r="X93" s="266"/>
      <c r="Y93" s="267"/>
      <c r="Z93" s="267"/>
      <c r="AA93" s="268"/>
      <c r="AB93" s="263"/>
      <c r="AC93" s="261"/>
      <c r="AD93" s="261"/>
      <c r="AE93" s="261"/>
      <c r="AF93" s="261"/>
      <c r="AG93" s="261"/>
    </row>
    <row r="94" spans="1:33" x14ac:dyDescent="0.3">
      <c r="A94" s="261"/>
      <c r="B94" s="261"/>
      <c r="C94" s="262"/>
      <c r="D94" s="262"/>
      <c r="E94" s="263"/>
      <c r="F94" s="261"/>
      <c r="G94" s="261"/>
      <c r="H94" s="261"/>
      <c r="I94" s="261"/>
      <c r="J94" s="261"/>
      <c r="K94" s="261"/>
      <c r="L94" s="261"/>
      <c r="M94" s="261"/>
      <c r="N94" s="261"/>
      <c r="O94" s="275"/>
      <c r="P94" s="275"/>
      <c r="Q94" s="261"/>
      <c r="R94" s="261"/>
      <c r="S94" s="266"/>
      <c r="T94" s="266"/>
      <c r="U94" s="261"/>
      <c r="V94" s="265"/>
      <c r="W94" s="261"/>
      <c r="X94" s="266"/>
      <c r="Y94" s="267"/>
      <c r="Z94" s="267"/>
      <c r="AA94" s="268"/>
      <c r="AB94" s="263"/>
      <c r="AC94" s="261"/>
      <c r="AD94" s="261"/>
      <c r="AE94" s="261"/>
      <c r="AF94" s="261"/>
      <c r="AG94" s="261"/>
    </row>
    <row r="95" spans="1:33" x14ac:dyDescent="0.3">
      <c r="A95" s="261"/>
      <c r="B95" s="261"/>
      <c r="C95" s="97"/>
      <c r="D95" s="302"/>
      <c r="E95" s="303"/>
      <c r="F95" s="304"/>
      <c r="G95" s="304"/>
      <c r="H95" s="304"/>
      <c r="I95" s="304"/>
      <c r="J95" s="304"/>
      <c r="K95" s="304"/>
      <c r="L95" s="304"/>
      <c r="M95" s="304"/>
      <c r="N95" s="304"/>
      <c r="O95" s="305"/>
      <c r="P95" s="305"/>
      <c r="Q95" s="304"/>
      <c r="R95" s="304"/>
      <c r="S95" s="306"/>
      <c r="T95" s="306"/>
      <c r="U95" s="304"/>
      <c r="V95" s="307"/>
      <c r="W95" s="261"/>
      <c r="X95" s="266"/>
      <c r="Y95" s="267"/>
      <c r="Z95" s="267"/>
      <c r="AA95" s="268"/>
      <c r="AB95" s="263"/>
      <c r="AC95" s="261"/>
      <c r="AD95" s="261"/>
      <c r="AE95" s="261"/>
      <c r="AF95" s="261"/>
      <c r="AG95" s="261"/>
    </row>
    <row r="96" spans="1:33" x14ac:dyDescent="0.3">
      <c r="A96" s="261"/>
      <c r="B96" s="261"/>
      <c r="C96" s="97"/>
      <c r="D96" s="97"/>
      <c r="E96" s="308"/>
      <c r="F96" s="98"/>
      <c r="G96" s="408" t="s">
        <v>157</v>
      </c>
      <c r="H96" s="408"/>
      <c r="I96" s="408"/>
      <c r="J96" s="408"/>
      <c r="K96" s="408"/>
      <c r="L96" s="408"/>
      <c r="M96" s="98"/>
      <c r="N96" s="98"/>
      <c r="O96" s="309"/>
      <c r="P96" s="309"/>
      <c r="Q96" s="98"/>
      <c r="R96" s="98"/>
      <c r="S96" s="310"/>
      <c r="T96" s="310"/>
      <c r="U96" s="98"/>
      <c r="V96" s="311"/>
      <c r="W96" s="261"/>
      <c r="X96" s="266"/>
      <c r="Y96" s="267"/>
      <c r="Z96" s="267"/>
      <c r="AA96" s="268"/>
      <c r="AB96" s="263"/>
      <c r="AC96" s="261"/>
      <c r="AD96" s="261"/>
      <c r="AE96" s="261"/>
      <c r="AF96" s="261"/>
      <c r="AG96" s="261"/>
    </row>
    <row r="97" spans="1:33" x14ac:dyDescent="0.3">
      <c r="A97" s="261"/>
      <c r="B97" s="261"/>
      <c r="C97" s="97"/>
      <c r="D97" s="97"/>
      <c r="E97" s="308"/>
      <c r="F97" s="98"/>
      <c r="G97" s="409"/>
      <c r="H97" s="409"/>
      <c r="I97" s="409"/>
      <c r="J97" s="409"/>
      <c r="K97" s="409"/>
      <c r="L97" s="409"/>
      <c r="M97" s="98"/>
      <c r="N97" s="98"/>
      <c r="O97" s="309"/>
      <c r="P97" s="309"/>
      <c r="Q97" s="98"/>
      <c r="R97" s="98"/>
      <c r="S97" s="310"/>
      <c r="T97" s="310"/>
      <c r="U97" s="98"/>
      <c r="V97" s="311"/>
      <c r="W97" s="261"/>
      <c r="X97" s="266"/>
      <c r="Y97" s="267"/>
      <c r="Z97" s="267"/>
      <c r="AA97" s="268"/>
      <c r="AB97" s="263"/>
      <c r="AC97" s="261"/>
      <c r="AD97" s="261"/>
      <c r="AE97" s="261"/>
      <c r="AF97" s="261"/>
      <c r="AG97" s="261"/>
    </row>
    <row r="98" spans="1:33" x14ac:dyDescent="0.3">
      <c r="A98" s="261"/>
      <c r="B98" s="261"/>
      <c r="C98" s="97"/>
      <c r="D98" s="97"/>
      <c r="E98" s="308"/>
      <c r="F98" s="98"/>
      <c r="G98" s="98"/>
      <c r="H98" s="98"/>
      <c r="I98" s="98"/>
      <c r="J98" s="98"/>
      <c r="K98" s="98"/>
      <c r="L98" s="98"/>
      <c r="M98" s="98"/>
      <c r="N98" s="98"/>
      <c r="O98" s="309"/>
      <c r="P98" s="309"/>
      <c r="Q98" s="98"/>
      <c r="R98" s="98"/>
      <c r="S98" s="310"/>
      <c r="T98" s="310"/>
      <c r="U98" s="98"/>
      <c r="V98" s="311"/>
      <c r="W98" s="261"/>
      <c r="X98" s="266"/>
      <c r="Y98" s="267"/>
      <c r="Z98" s="267"/>
      <c r="AA98" s="268"/>
      <c r="AB98" s="263"/>
      <c r="AC98" s="261"/>
      <c r="AD98" s="261"/>
      <c r="AE98" s="261"/>
      <c r="AF98" s="261"/>
      <c r="AG98" s="261"/>
    </row>
    <row r="99" spans="1:33" x14ac:dyDescent="0.3">
      <c r="A99" s="261"/>
      <c r="B99" s="261"/>
      <c r="C99" s="97"/>
      <c r="D99" s="97"/>
      <c r="E99" s="308"/>
      <c r="F99" s="98"/>
      <c r="G99" s="398" t="s">
        <v>158</v>
      </c>
      <c r="H99" s="398"/>
      <c r="I99" s="398"/>
      <c r="J99" s="398"/>
      <c r="K99" s="398"/>
      <c r="L99" s="398"/>
      <c r="M99" s="98"/>
      <c r="N99" s="98"/>
      <c r="O99" s="98"/>
      <c r="P99" s="98"/>
      <c r="Q99" s="98"/>
      <c r="R99" s="98"/>
      <c r="S99" s="98"/>
      <c r="T99" s="98"/>
      <c r="U99" s="98"/>
      <c r="V99" s="311"/>
      <c r="W99" s="261"/>
      <c r="X99" s="266"/>
      <c r="Y99" s="267"/>
      <c r="Z99" s="267"/>
      <c r="AA99" s="268"/>
      <c r="AB99" s="263"/>
      <c r="AC99" s="261"/>
      <c r="AD99" s="261"/>
      <c r="AE99" s="261"/>
      <c r="AF99" s="261"/>
      <c r="AG99" s="261"/>
    </row>
    <row r="100" spans="1:33" x14ac:dyDescent="0.3">
      <c r="A100" s="261"/>
      <c r="B100" s="261"/>
      <c r="C100" s="97"/>
      <c r="D100" s="399" t="s">
        <v>139</v>
      </c>
      <c r="E100" s="400"/>
      <c r="F100" s="98"/>
      <c r="G100" s="312" t="s">
        <v>140</v>
      </c>
      <c r="H100" s="313"/>
      <c r="I100" s="314"/>
      <c r="J100" s="314"/>
      <c r="K100" s="314"/>
      <c r="L100" s="315" t="str">
        <f>IF(D102="x",U36,"")</f>
        <v/>
      </c>
      <c r="M100" s="316"/>
      <c r="N100" s="98"/>
      <c r="O100" s="98"/>
      <c r="P100" s="98"/>
      <c r="Q100" s="98"/>
      <c r="R100" s="98"/>
      <c r="S100" s="98"/>
      <c r="T100" s="98"/>
      <c r="U100" s="98"/>
      <c r="V100" s="311"/>
      <c r="W100" s="261"/>
      <c r="X100" s="266"/>
      <c r="Y100" s="267"/>
      <c r="Z100" s="267"/>
      <c r="AA100" s="268"/>
      <c r="AB100" s="263"/>
      <c r="AC100" s="261"/>
      <c r="AD100" s="261"/>
      <c r="AE100" s="261"/>
      <c r="AF100" s="261"/>
      <c r="AG100" s="261"/>
    </row>
    <row r="101" spans="1:33" x14ac:dyDescent="0.3">
      <c r="A101" s="261"/>
      <c r="B101" s="261"/>
      <c r="C101" s="97"/>
      <c r="D101" s="401"/>
      <c r="E101" s="402"/>
      <c r="F101" s="98"/>
      <c r="G101" s="317" t="s">
        <v>159</v>
      </c>
      <c r="H101" s="97"/>
      <c r="I101" s="318"/>
      <c r="J101" s="319"/>
      <c r="K101" s="185">
        <v>0.20499999999999999</v>
      </c>
      <c r="L101" s="320" t="str">
        <f>IF(D102="x",L100*K101,"")</f>
        <v/>
      </c>
      <c r="M101" s="98"/>
      <c r="N101" s="98"/>
      <c r="O101" s="98"/>
      <c r="P101" s="98"/>
      <c r="Q101" s="98"/>
      <c r="R101" s="98"/>
      <c r="S101" s="98"/>
      <c r="T101" s="98"/>
      <c r="U101" s="98"/>
      <c r="V101" s="311"/>
      <c r="W101" s="261"/>
      <c r="X101" s="266"/>
      <c r="Y101" s="267"/>
      <c r="Z101" s="267"/>
      <c r="AA101" s="268"/>
      <c r="AB101" s="263"/>
      <c r="AC101" s="261"/>
      <c r="AD101" s="261"/>
      <c r="AE101" s="261"/>
      <c r="AF101" s="261"/>
      <c r="AG101" s="261"/>
    </row>
    <row r="102" spans="1:33" x14ac:dyDescent="0.3">
      <c r="A102" s="261"/>
      <c r="B102" s="261"/>
      <c r="C102" s="97"/>
      <c r="D102" s="403"/>
      <c r="E102" s="404"/>
      <c r="F102" s="98"/>
      <c r="G102" s="321"/>
      <c r="H102" s="318"/>
      <c r="I102" s="318"/>
      <c r="J102" s="322"/>
      <c r="K102" s="318"/>
      <c r="L102" s="348" t="s">
        <v>160</v>
      </c>
      <c r="M102" s="98"/>
      <c r="N102" s="98"/>
      <c r="O102" s="98"/>
      <c r="P102" s="98"/>
      <c r="Q102" s="98"/>
      <c r="R102" s="98"/>
      <c r="S102" s="98"/>
      <c r="T102" s="98"/>
      <c r="U102" s="98"/>
      <c r="V102" s="311"/>
      <c r="W102" s="261"/>
      <c r="X102" s="266"/>
      <c r="Y102" s="267"/>
      <c r="Z102" s="267"/>
      <c r="AA102" s="268"/>
      <c r="AB102" s="263"/>
      <c r="AC102" s="261"/>
      <c r="AD102" s="261"/>
      <c r="AE102" s="261"/>
      <c r="AF102" s="261"/>
      <c r="AG102" s="261"/>
    </row>
    <row r="103" spans="1:33" x14ac:dyDescent="0.3">
      <c r="A103" s="261"/>
      <c r="B103" s="261"/>
      <c r="C103" s="97"/>
      <c r="D103" s="405"/>
      <c r="E103" s="406"/>
      <c r="F103" s="98"/>
      <c r="G103" s="317" t="s">
        <v>161</v>
      </c>
      <c r="H103" s="97"/>
      <c r="I103" s="97"/>
      <c r="J103" s="97"/>
      <c r="K103" s="324"/>
      <c r="L103" s="349">
        <f>K101</f>
        <v>0.20499999999999999</v>
      </c>
      <c r="M103" s="392"/>
      <c r="N103" s="392"/>
      <c r="O103" s="98"/>
      <c r="P103" s="98"/>
      <c r="Q103" s="98"/>
      <c r="R103" s="98"/>
      <c r="S103" s="98"/>
      <c r="T103" s="98"/>
      <c r="U103" s="98"/>
      <c r="V103" s="311"/>
      <c r="W103" s="261"/>
      <c r="X103" s="266"/>
      <c r="Y103" s="267"/>
      <c r="Z103" s="267"/>
      <c r="AA103" s="268"/>
      <c r="AB103" s="263"/>
      <c r="AC103" s="261"/>
      <c r="AD103" s="261"/>
      <c r="AE103" s="261"/>
      <c r="AF103" s="261"/>
      <c r="AG103" s="261"/>
    </row>
    <row r="104" spans="1:33" x14ac:dyDescent="0.3">
      <c r="A104" s="261"/>
      <c r="B104" s="261"/>
      <c r="C104" s="97"/>
      <c r="D104" s="97"/>
      <c r="E104" s="308"/>
      <c r="F104" s="98"/>
      <c r="G104" s="350" t="s">
        <v>162</v>
      </c>
      <c r="H104" s="351"/>
      <c r="I104" s="351"/>
      <c r="J104" s="351"/>
      <c r="K104" s="351"/>
      <c r="L104" s="352" t="str">
        <f>IF(D102="x",K118*L103,"")</f>
        <v/>
      </c>
      <c r="M104" s="98"/>
      <c r="N104" s="98"/>
      <c r="O104" s="98"/>
      <c r="P104" s="98"/>
      <c r="Q104" s="98"/>
      <c r="R104" s="98"/>
      <c r="S104" s="98"/>
      <c r="T104" s="98"/>
      <c r="U104" s="98"/>
      <c r="V104" s="311"/>
      <c r="W104" s="261"/>
      <c r="X104" s="266"/>
      <c r="Y104" s="267"/>
      <c r="Z104" s="267"/>
      <c r="AA104" s="268"/>
      <c r="AB104" s="263"/>
      <c r="AC104" s="261"/>
      <c r="AD104" s="261"/>
      <c r="AE104" s="261"/>
      <c r="AF104" s="261"/>
      <c r="AG104" s="261"/>
    </row>
    <row r="105" spans="1:33" x14ac:dyDescent="0.3">
      <c r="A105" s="261"/>
      <c r="B105" s="261"/>
      <c r="C105" s="97"/>
      <c r="D105" s="97"/>
      <c r="E105" s="30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311"/>
      <c r="W105" s="261"/>
      <c r="X105" s="266"/>
      <c r="Y105" s="267"/>
      <c r="Z105" s="267"/>
      <c r="AA105" s="268"/>
      <c r="AB105" s="263"/>
      <c r="AC105" s="261"/>
      <c r="AD105" s="261"/>
      <c r="AE105" s="261"/>
      <c r="AF105" s="261"/>
      <c r="AG105" s="261"/>
    </row>
    <row r="106" spans="1:33" x14ac:dyDescent="0.3">
      <c r="A106" s="261"/>
      <c r="B106" s="261"/>
      <c r="C106" s="97"/>
      <c r="D106" s="97"/>
      <c r="E106" s="308"/>
      <c r="F106" s="98"/>
      <c r="G106" s="407" t="s">
        <v>163</v>
      </c>
      <c r="H106" s="407"/>
      <c r="I106" s="407"/>
      <c r="J106" s="407"/>
      <c r="K106" s="407"/>
      <c r="L106" s="407"/>
      <c r="M106" s="97"/>
      <c r="N106" s="98"/>
      <c r="O106" s="98"/>
      <c r="P106" s="98"/>
      <c r="Q106" s="98"/>
      <c r="R106" s="98"/>
      <c r="S106" s="98"/>
      <c r="T106" s="98"/>
      <c r="U106" s="98"/>
      <c r="V106" s="311"/>
      <c r="W106" s="261"/>
      <c r="X106" s="266"/>
      <c r="Y106" s="267"/>
      <c r="Z106" s="267"/>
      <c r="AA106" s="268"/>
      <c r="AB106" s="263"/>
      <c r="AC106" s="261"/>
      <c r="AD106" s="261"/>
      <c r="AE106" s="261"/>
      <c r="AF106" s="261"/>
      <c r="AG106" s="261"/>
    </row>
    <row r="107" spans="1:33" x14ac:dyDescent="0.3">
      <c r="A107" s="261"/>
      <c r="B107" s="261"/>
      <c r="C107" s="97"/>
      <c r="D107" s="97"/>
      <c r="E107" s="308"/>
      <c r="F107" s="98"/>
      <c r="G107" s="353" t="s">
        <v>164</v>
      </c>
      <c r="H107" s="354"/>
      <c r="I107" s="355"/>
      <c r="J107" s="313"/>
      <c r="K107" s="313"/>
      <c r="L107" s="356" t="str">
        <f>IF(D102="x",U36,"")</f>
        <v/>
      </c>
      <c r="M107" s="97"/>
      <c r="N107" s="98"/>
      <c r="O107" s="98"/>
      <c r="P107" s="98"/>
      <c r="Q107" s="98"/>
      <c r="R107" s="98"/>
      <c r="S107" s="98"/>
      <c r="T107" s="98"/>
      <c r="U107" s="98"/>
      <c r="V107" s="311"/>
      <c r="W107" s="261"/>
      <c r="X107" s="266"/>
      <c r="Y107" s="267"/>
      <c r="Z107" s="267"/>
      <c r="AA107" s="268"/>
      <c r="AB107" s="263"/>
      <c r="AC107" s="261"/>
      <c r="AD107" s="261"/>
      <c r="AE107" s="261"/>
      <c r="AF107" s="261"/>
      <c r="AG107" s="261"/>
    </row>
    <row r="108" spans="1:33" x14ac:dyDescent="0.3">
      <c r="A108" s="261"/>
      <c r="B108" s="261"/>
      <c r="C108" s="97"/>
      <c r="D108" s="97"/>
      <c r="E108" s="308"/>
      <c r="F108" s="98"/>
      <c r="G108" s="357" t="s">
        <v>165</v>
      </c>
      <c r="H108" s="358"/>
      <c r="I108" s="358"/>
      <c r="J108" s="359"/>
      <c r="K108" s="358"/>
      <c r="L108" s="360" t="str">
        <f>L104</f>
        <v/>
      </c>
      <c r="M108" s="98"/>
      <c r="N108" s="98"/>
      <c r="O108" s="98"/>
      <c r="P108" s="98"/>
      <c r="Q108" s="98"/>
      <c r="R108" s="98"/>
      <c r="S108" s="98"/>
      <c r="T108" s="98"/>
      <c r="U108" s="98"/>
      <c r="V108" s="311"/>
      <c r="W108" s="261"/>
      <c r="X108" s="266"/>
      <c r="Y108" s="267"/>
      <c r="Z108" s="267"/>
      <c r="AA108" s="268"/>
      <c r="AB108" s="263"/>
      <c r="AC108" s="261"/>
      <c r="AD108" s="261"/>
      <c r="AE108" s="261"/>
      <c r="AF108" s="261"/>
      <c r="AG108" s="261"/>
    </row>
    <row r="109" spans="1:33" x14ac:dyDescent="0.3">
      <c r="A109" s="261"/>
      <c r="B109" s="261"/>
      <c r="C109" s="97"/>
      <c r="D109" s="97"/>
      <c r="E109" s="308"/>
      <c r="F109" s="98"/>
      <c r="G109" s="361" t="s">
        <v>166</v>
      </c>
      <c r="H109" s="362"/>
      <c r="I109" s="362"/>
      <c r="J109" s="362"/>
      <c r="K109" s="362"/>
      <c r="L109" s="363" t="str">
        <f>IF(D102="x",L107-L108,"")</f>
        <v/>
      </c>
      <c r="M109" s="98"/>
      <c r="N109" s="98"/>
      <c r="O109" s="98"/>
      <c r="P109" s="98"/>
      <c r="Q109" s="98"/>
      <c r="R109" s="98"/>
      <c r="S109" s="98"/>
      <c r="T109" s="98"/>
      <c r="U109" s="98"/>
      <c r="V109" s="311"/>
      <c r="W109" s="261"/>
      <c r="X109" s="266"/>
      <c r="Y109" s="267"/>
      <c r="Z109" s="267"/>
      <c r="AA109" s="268"/>
      <c r="AB109" s="263"/>
      <c r="AC109" s="261"/>
      <c r="AD109" s="261"/>
      <c r="AE109" s="261"/>
      <c r="AF109" s="261"/>
      <c r="AG109" s="261"/>
    </row>
    <row r="110" spans="1:33" x14ac:dyDescent="0.3">
      <c r="A110" s="261"/>
      <c r="B110" s="261"/>
      <c r="C110" s="97"/>
      <c r="D110" s="97"/>
      <c r="E110" s="308"/>
      <c r="F110" s="98"/>
      <c r="G110" s="364" t="s">
        <v>141</v>
      </c>
      <c r="H110" s="365"/>
      <c r="I110" s="358"/>
      <c r="J110" s="366"/>
      <c r="K110" s="367">
        <v>9.2499999999999999E-2</v>
      </c>
      <c r="L110" s="368"/>
      <c r="M110" s="98"/>
      <c r="N110" s="98"/>
      <c r="O110" s="98"/>
      <c r="P110" s="98"/>
      <c r="Q110" s="98"/>
      <c r="R110" s="98"/>
      <c r="S110" s="98"/>
      <c r="T110" s="98"/>
      <c r="U110" s="98"/>
      <c r="V110" s="311"/>
      <c r="W110" s="261"/>
      <c r="X110" s="266"/>
      <c r="Y110" s="267"/>
      <c r="Z110" s="267"/>
      <c r="AA110" s="268"/>
      <c r="AB110" s="263"/>
      <c r="AC110" s="261"/>
      <c r="AD110" s="261"/>
      <c r="AE110" s="261"/>
      <c r="AF110" s="261"/>
      <c r="AG110" s="261"/>
    </row>
    <row r="111" spans="1:33" x14ac:dyDescent="0.3">
      <c r="A111" s="261"/>
      <c r="B111" s="261"/>
      <c r="C111" s="97"/>
      <c r="D111" s="97"/>
      <c r="E111" s="308"/>
      <c r="F111" s="98"/>
      <c r="G111" s="361" t="s">
        <v>167</v>
      </c>
      <c r="H111" s="369"/>
      <c r="I111" s="369"/>
      <c r="J111" s="369"/>
      <c r="K111" s="369"/>
      <c r="L111" s="363" t="str">
        <f>IF(D102="x",L109*K110,"")</f>
        <v/>
      </c>
      <c r="M111" s="98"/>
      <c r="N111" s="98"/>
      <c r="O111" s="98"/>
      <c r="P111" s="98"/>
      <c r="Q111" s="98"/>
      <c r="R111" s="98"/>
      <c r="S111" s="98"/>
      <c r="T111" s="98"/>
      <c r="U111" s="98"/>
      <c r="V111" s="311"/>
      <c r="W111" s="261"/>
      <c r="X111" s="266"/>
      <c r="Y111" s="267"/>
      <c r="Z111" s="267"/>
      <c r="AA111" s="268"/>
      <c r="AB111" s="263"/>
      <c r="AC111" s="261"/>
      <c r="AD111" s="261"/>
      <c r="AE111" s="261"/>
      <c r="AF111" s="261"/>
      <c r="AG111" s="261"/>
    </row>
    <row r="112" spans="1:33" x14ac:dyDescent="0.3">
      <c r="A112" s="261"/>
      <c r="B112" s="261"/>
      <c r="C112" s="97"/>
      <c r="D112" s="97"/>
      <c r="E112" s="308"/>
      <c r="F112" s="98"/>
      <c r="G112" s="370"/>
      <c r="H112" s="97"/>
      <c r="I112" s="97"/>
      <c r="J112" s="97"/>
      <c r="K112" s="97"/>
      <c r="L112" s="371" t="s">
        <v>160</v>
      </c>
      <c r="M112" s="98"/>
      <c r="N112" s="98"/>
      <c r="O112" s="98"/>
      <c r="P112" s="98"/>
      <c r="Q112" s="98"/>
      <c r="R112" s="98"/>
      <c r="S112" s="98"/>
      <c r="T112" s="98"/>
      <c r="U112" s="98"/>
      <c r="V112" s="311"/>
      <c r="W112" s="261"/>
      <c r="X112" s="266"/>
      <c r="Y112" s="267"/>
      <c r="Z112" s="267"/>
      <c r="AA112" s="268"/>
      <c r="AB112" s="263"/>
      <c r="AC112" s="261"/>
      <c r="AD112" s="261"/>
      <c r="AE112" s="261"/>
      <c r="AF112" s="261"/>
      <c r="AG112" s="261"/>
    </row>
    <row r="113" spans="1:33" x14ac:dyDescent="0.3">
      <c r="A113" s="261"/>
      <c r="B113" s="261"/>
      <c r="C113" s="97"/>
      <c r="D113" s="97"/>
      <c r="E113" s="308"/>
      <c r="F113" s="98"/>
      <c r="G113" s="370" t="s">
        <v>161</v>
      </c>
      <c r="H113" s="97"/>
      <c r="I113" s="97"/>
      <c r="J113" s="97"/>
      <c r="K113" s="324"/>
      <c r="L113" s="372" t="str">
        <f>IF(D102="x",L111/K118,"")</f>
        <v/>
      </c>
      <c r="M113" s="392"/>
      <c r="N113" s="392"/>
      <c r="O113" s="98"/>
      <c r="P113" s="98"/>
      <c r="Q113" s="98"/>
      <c r="R113" s="98"/>
      <c r="S113" s="98"/>
      <c r="T113" s="98"/>
      <c r="U113" s="98"/>
      <c r="V113" s="311"/>
      <c r="W113" s="261"/>
      <c r="X113" s="266"/>
      <c r="Y113" s="267"/>
      <c r="Z113" s="267"/>
      <c r="AA113" s="268"/>
      <c r="AB113" s="263"/>
      <c r="AC113" s="261"/>
      <c r="AD113" s="261"/>
      <c r="AE113" s="261"/>
      <c r="AF113" s="261"/>
      <c r="AG113" s="261"/>
    </row>
    <row r="114" spans="1:33" x14ac:dyDescent="0.3">
      <c r="A114" s="261"/>
      <c r="B114" s="261"/>
      <c r="C114" s="97"/>
      <c r="D114" s="97"/>
      <c r="E114" s="308"/>
      <c r="F114" s="98"/>
      <c r="G114" s="321" t="s">
        <v>161</v>
      </c>
      <c r="H114" s="313"/>
      <c r="I114" s="318"/>
      <c r="J114" s="318"/>
      <c r="K114" s="318"/>
      <c r="L114" s="373">
        <v>4.9954199999999997E-2</v>
      </c>
      <c r="M114" s="98"/>
      <c r="N114" s="98"/>
      <c r="O114" s="98"/>
      <c r="P114" s="98"/>
      <c r="Q114" s="98"/>
      <c r="R114" s="98"/>
      <c r="S114" s="98"/>
      <c r="T114" s="98"/>
      <c r="U114" s="98"/>
      <c r="V114" s="311"/>
      <c r="W114" s="261"/>
      <c r="X114" s="266"/>
      <c r="Y114" s="267"/>
      <c r="Z114" s="267"/>
      <c r="AA114" s="268"/>
      <c r="AB114" s="263"/>
      <c r="AC114" s="261"/>
      <c r="AD114" s="261"/>
      <c r="AE114" s="261"/>
      <c r="AF114" s="261"/>
      <c r="AG114" s="261"/>
    </row>
    <row r="115" spans="1:33" x14ac:dyDescent="0.3">
      <c r="A115" s="261"/>
      <c r="B115" s="261"/>
      <c r="C115" s="97"/>
      <c r="D115" s="97"/>
      <c r="E115" s="308"/>
      <c r="F115" s="98"/>
      <c r="G115" s="350" t="s">
        <v>162</v>
      </c>
      <c r="H115" s="351"/>
      <c r="I115" s="374"/>
      <c r="J115" s="374"/>
      <c r="K115" s="374"/>
      <c r="L115" s="375" t="str">
        <f>IF(D102="x",K118*L114,"")</f>
        <v/>
      </c>
      <c r="M115" s="98"/>
      <c r="N115" s="98"/>
      <c r="O115" s="98"/>
      <c r="P115" s="98"/>
      <c r="Q115" s="98"/>
      <c r="R115" s="98"/>
      <c r="S115" s="98"/>
      <c r="T115" s="98"/>
      <c r="U115" s="98"/>
      <c r="V115" s="311"/>
      <c r="W115" s="261"/>
      <c r="X115" s="266"/>
      <c r="Y115" s="267"/>
      <c r="Z115" s="267"/>
      <c r="AA115" s="268"/>
      <c r="AB115" s="263"/>
      <c r="AC115" s="261"/>
      <c r="AD115" s="261"/>
      <c r="AE115" s="261"/>
      <c r="AF115" s="261"/>
      <c r="AG115" s="261"/>
    </row>
    <row r="116" spans="1:33" x14ac:dyDescent="0.3">
      <c r="A116" s="261"/>
      <c r="B116" s="261"/>
      <c r="C116" s="97"/>
      <c r="D116" s="97"/>
      <c r="E116" s="30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311"/>
      <c r="W116" s="261"/>
      <c r="X116" s="266"/>
      <c r="Y116" s="267"/>
      <c r="Z116" s="267"/>
      <c r="AA116" s="268"/>
      <c r="AB116" s="263"/>
      <c r="AC116" s="261"/>
      <c r="AD116" s="261"/>
      <c r="AE116" s="261"/>
      <c r="AF116" s="261"/>
      <c r="AG116" s="261"/>
    </row>
    <row r="117" spans="1:33" x14ac:dyDescent="0.3">
      <c r="A117" s="261"/>
      <c r="B117" s="261"/>
      <c r="C117" s="97"/>
      <c r="D117" s="97"/>
      <c r="E117" s="30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311"/>
      <c r="W117" s="261"/>
      <c r="X117" s="266"/>
      <c r="Y117" s="267"/>
      <c r="Z117" s="267"/>
      <c r="AA117" s="268"/>
      <c r="AB117" s="263"/>
      <c r="AC117" s="261"/>
      <c r="AD117" s="261"/>
      <c r="AE117" s="261"/>
      <c r="AF117" s="261"/>
      <c r="AG117" s="261"/>
    </row>
    <row r="118" spans="1:33" x14ac:dyDescent="0.3">
      <c r="A118" s="261"/>
      <c r="B118" s="261"/>
      <c r="C118" s="97"/>
      <c r="D118" s="97"/>
      <c r="E118" s="308"/>
      <c r="F118" s="98"/>
      <c r="G118" s="97"/>
      <c r="H118" s="98"/>
      <c r="I118" s="98"/>
      <c r="J118" s="376" t="s">
        <v>168</v>
      </c>
      <c r="K118" s="393" t="str">
        <f>IF(D102="x",U26/(1-L103-L114),"")</f>
        <v/>
      </c>
      <c r="L118" s="393"/>
      <c r="M118" s="98"/>
      <c r="N118" s="98"/>
      <c r="O118" s="98"/>
      <c r="P118" s="98"/>
      <c r="Q118" s="98"/>
      <c r="R118" s="98"/>
      <c r="S118" s="98"/>
      <c r="T118" s="98"/>
      <c r="U118" s="98"/>
      <c r="V118" s="311"/>
      <c r="W118" s="261"/>
      <c r="X118" s="266"/>
      <c r="Y118" s="267"/>
      <c r="Z118" s="267"/>
      <c r="AA118" s="268"/>
      <c r="AB118" s="263"/>
      <c r="AC118" s="261"/>
      <c r="AD118" s="261"/>
      <c r="AE118" s="261"/>
      <c r="AF118" s="261"/>
      <c r="AG118" s="261"/>
    </row>
    <row r="119" spans="1:33" x14ac:dyDescent="0.3">
      <c r="A119" s="261"/>
      <c r="B119" s="261"/>
      <c r="C119" s="97"/>
      <c r="D119" s="97"/>
      <c r="E119" s="308"/>
      <c r="F119" s="98"/>
      <c r="G119" s="374"/>
      <c r="H119" s="374"/>
      <c r="I119" s="374"/>
      <c r="J119" s="377" t="s">
        <v>169</v>
      </c>
      <c r="K119" s="394" t="str">
        <f>IF(D102="x",U60,"")</f>
        <v/>
      </c>
      <c r="L119" s="394"/>
      <c r="M119" s="98"/>
      <c r="N119" s="98"/>
      <c r="O119" s="98"/>
      <c r="P119" s="98"/>
      <c r="Q119" s="98"/>
      <c r="R119" s="98"/>
      <c r="S119" s="98"/>
      <c r="T119" s="98"/>
      <c r="U119" s="98"/>
      <c r="V119" s="311"/>
      <c r="W119" s="261"/>
      <c r="X119" s="266"/>
      <c r="Y119" s="267"/>
      <c r="Z119" s="267"/>
      <c r="AA119" s="268"/>
      <c r="AB119" s="263"/>
      <c r="AC119" s="261"/>
      <c r="AD119" s="261"/>
      <c r="AE119" s="261"/>
      <c r="AF119" s="261"/>
      <c r="AG119" s="261"/>
    </row>
    <row r="120" spans="1:33" x14ac:dyDescent="0.3">
      <c r="A120" s="261"/>
      <c r="B120" s="261"/>
      <c r="C120" s="97"/>
      <c r="D120" s="97"/>
      <c r="E120" s="30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311"/>
      <c r="W120" s="261"/>
      <c r="X120" s="266"/>
      <c r="Y120" s="267"/>
      <c r="Z120" s="267"/>
      <c r="AA120" s="268"/>
      <c r="AB120" s="263"/>
      <c r="AC120" s="261"/>
      <c r="AD120" s="261"/>
      <c r="AE120" s="261"/>
      <c r="AF120" s="261"/>
      <c r="AG120" s="261"/>
    </row>
    <row r="121" spans="1:33" x14ac:dyDescent="0.3">
      <c r="A121" s="261"/>
      <c r="B121" s="261"/>
      <c r="C121" s="97"/>
      <c r="D121" s="97"/>
      <c r="E121" s="308"/>
      <c r="F121" s="98"/>
      <c r="G121" s="98"/>
      <c r="H121" s="98"/>
      <c r="I121" s="98"/>
      <c r="J121" s="378" t="s">
        <v>170</v>
      </c>
      <c r="K121" s="395" t="str">
        <f>IF(D102="x",K118-K119,"")</f>
        <v/>
      </c>
      <c r="L121" s="396"/>
      <c r="M121" s="397" t="s">
        <v>24</v>
      </c>
      <c r="N121" s="397"/>
      <c r="O121" s="337"/>
      <c r="P121" s="338" t="s">
        <v>171</v>
      </c>
      <c r="Q121" s="339"/>
      <c r="R121" s="339"/>
      <c r="S121" s="340"/>
      <c r="T121" s="340"/>
      <c r="U121" s="341" t="str">
        <f>IF($K$177="","",MAX(0,$K$177))</f>
        <v/>
      </c>
      <c r="V121" s="311"/>
      <c r="W121" s="261"/>
      <c r="X121" s="266"/>
      <c r="Y121" s="267"/>
      <c r="Z121" s="267"/>
      <c r="AA121" s="268"/>
      <c r="AB121" s="263"/>
      <c r="AC121" s="261"/>
      <c r="AD121" s="261"/>
      <c r="AE121" s="261"/>
      <c r="AF121" s="261"/>
      <c r="AG121" s="261"/>
    </row>
    <row r="122" spans="1:33" x14ac:dyDescent="0.3">
      <c r="A122" s="261"/>
      <c r="B122" s="261"/>
      <c r="C122" s="97"/>
      <c r="D122" s="97"/>
      <c r="E122" s="30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311"/>
      <c r="W122" s="261"/>
      <c r="X122" s="266"/>
      <c r="Y122" s="267"/>
      <c r="Z122" s="267"/>
      <c r="AA122" s="268"/>
      <c r="AB122" s="263"/>
      <c r="AC122" s="261"/>
      <c r="AD122" s="261"/>
      <c r="AE122" s="261"/>
      <c r="AF122" s="261"/>
      <c r="AG122" s="261"/>
    </row>
    <row r="123" spans="1:33" x14ac:dyDescent="0.3">
      <c r="A123" s="261"/>
      <c r="B123" s="261"/>
      <c r="C123" s="97"/>
      <c r="D123" s="342"/>
      <c r="E123" s="343"/>
      <c r="F123" s="344"/>
      <c r="G123" s="344"/>
      <c r="H123" s="344"/>
      <c r="I123" s="344"/>
      <c r="J123" s="344"/>
      <c r="K123" s="344"/>
      <c r="L123" s="344"/>
      <c r="M123" s="344"/>
      <c r="N123" s="344"/>
      <c r="O123" s="345"/>
      <c r="P123" s="345"/>
      <c r="Q123" s="344"/>
      <c r="R123" s="344"/>
      <c r="S123" s="346"/>
      <c r="T123" s="346"/>
      <c r="U123" s="344"/>
      <c r="V123" s="347"/>
      <c r="W123" s="261"/>
      <c r="X123" s="266"/>
      <c r="Y123" s="267"/>
      <c r="Z123" s="267"/>
      <c r="AA123" s="268"/>
      <c r="AB123" s="263"/>
      <c r="AC123" s="261"/>
      <c r="AD123" s="261"/>
      <c r="AE123" s="261"/>
      <c r="AF123" s="261"/>
      <c r="AG123" s="261"/>
    </row>
    <row r="124" spans="1:33" x14ac:dyDescent="0.3">
      <c r="A124" s="261"/>
      <c r="B124" s="261"/>
      <c r="C124" s="262"/>
      <c r="D124" s="262"/>
      <c r="E124" s="263"/>
      <c r="F124" s="261"/>
      <c r="G124" s="301"/>
      <c r="H124" s="379"/>
      <c r="I124" s="301"/>
      <c r="J124" s="301"/>
      <c r="K124" s="301"/>
      <c r="L124" s="380"/>
      <c r="M124" s="261"/>
      <c r="N124" s="261"/>
      <c r="O124" s="261"/>
      <c r="P124" s="261"/>
      <c r="Q124" s="261"/>
      <c r="R124" s="261"/>
      <c r="S124" s="261"/>
      <c r="T124" s="261"/>
      <c r="U124" s="261"/>
      <c r="V124" s="261"/>
      <c r="W124" s="261"/>
      <c r="X124" s="266"/>
      <c r="Y124" s="267"/>
      <c r="Z124" s="267"/>
      <c r="AA124" s="268"/>
      <c r="AB124" s="263"/>
      <c r="AC124" s="261"/>
      <c r="AD124" s="261"/>
      <c r="AE124" s="261"/>
      <c r="AF124" s="261"/>
      <c r="AG124" s="261"/>
    </row>
    <row r="125" spans="1:33" x14ac:dyDescent="0.3">
      <c r="A125" s="261"/>
      <c r="B125" s="261"/>
      <c r="C125" s="262"/>
      <c r="D125" s="262"/>
      <c r="E125" s="263"/>
      <c r="F125" s="261"/>
      <c r="G125" s="301"/>
      <c r="H125" s="379"/>
      <c r="I125" s="301"/>
      <c r="J125" s="301"/>
      <c r="K125" s="301"/>
      <c r="L125" s="380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6"/>
      <c r="Y125" s="267"/>
      <c r="Z125" s="267"/>
      <c r="AA125" s="268"/>
      <c r="AB125" s="263"/>
      <c r="AC125" s="261"/>
      <c r="AD125" s="261"/>
      <c r="AE125" s="261"/>
      <c r="AF125" s="261"/>
      <c r="AG125" s="261"/>
    </row>
    <row r="126" spans="1:33" ht="15.6" x14ac:dyDescent="0.3">
      <c r="A126" s="381"/>
      <c r="B126" s="381"/>
      <c r="C126" s="381"/>
      <c r="D126" s="381"/>
      <c r="E126" s="382"/>
      <c r="F126" s="381"/>
      <c r="G126" s="383"/>
      <c r="H126" s="384"/>
      <c r="I126" s="383"/>
      <c r="J126" s="383"/>
      <c r="K126" s="383"/>
      <c r="L126" s="385"/>
      <c r="M126" s="381"/>
      <c r="N126" s="381"/>
      <c r="O126" s="386"/>
      <c r="P126" s="391" t="s">
        <v>172</v>
      </c>
      <c r="Q126" s="391"/>
      <c r="R126" s="391"/>
      <c r="S126" s="391"/>
      <c r="T126" s="391"/>
      <c r="U126" s="387">
        <f>SUM(U60:U74,U121)</f>
        <v>2674214.3275424559</v>
      </c>
      <c r="V126" s="381"/>
      <c r="W126" s="381"/>
      <c r="X126" s="388"/>
      <c r="Y126" s="389"/>
      <c r="Z126" s="389"/>
      <c r="AA126" s="390"/>
      <c r="AB126" s="382"/>
      <c r="AC126" s="381"/>
      <c r="AD126" s="381"/>
      <c r="AE126" s="381"/>
      <c r="AF126" s="381"/>
      <c r="AG126" s="381"/>
    </row>
  </sheetData>
  <mergeCells count="65">
    <mergeCell ref="X43:Y43"/>
    <mergeCell ref="AB12:AC12"/>
    <mergeCell ref="AB18:AC18"/>
    <mergeCell ref="AB20:AC20"/>
    <mergeCell ref="F11:G11"/>
    <mergeCell ref="I11:M11"/>
    <mergeCell ref="N11:O11"/>
    <mergeCell ref="Q11:T11"/>
    <mergeCell ref="X39:Y39"/>
    <mergeCell ref="B2:E2"/>
    <mergeCell ref="D3:E3"/>
    <mergeCell ref="D4:E4"/>
    <mergeCell ref="G4:S4"/>
    <mergeCell ref="I8:P8"/>
    <mergeCell ref="C10:G10"/>
    <mergeCell ref="F13:G13"/>
    <mergeCell ref="N13:O13"/>
    <mergeCell ref="AB13:AC13"/>
    <mergeCell ref="F14:G14"/>
    <mergeCell ref="N14:O14"/>
    <mergeCell ref="AB14:AC14"/>
    <mergeCell ref="AB11:AC11"/>
    <mergeCell ref="C12:E12"/>
    <mergeCell ref="W11:AA11"/>
    <mergeCell ref="F12:G12"/>
    <mergeCell ref="I12:M12"/>
    <mergeCell ref="N12:O12"/>
    <mergeCell ref="Q12:T12"/>
    <mergeCell ref="W12:AA12"/>
    <mergeCell ref="C11:E11"/>
    <mergeCell ref="M70:N70"/>
    <mergeCell ref="P52:T52"/>
    <mergeCell ref="N62:T62"/>
    <mergeCell ref="B26:B28"/>
    <mergeCell ref="C18:E18"/>
    <mergeCell ref="F18:G18"/>
    <mergeCell ref="N18:O18"/>
    <mergeCell ref="B46:B48"/>
    <mergeCell ref="C24:E24"/>
    <mergeCell ref="B32:B36"/>
    <mergeCell ref="B38:B40"/>
    <mergeCell ref="M39:N39"/>
    <mergeCell ref="B42:B44"/>
    <mergeCell ref="M43:N43"/>
    <mergeCell ref="G76:L77"/>
    <mergeCell ref="G79:L79"/>
    <mergeCell ref="G66:L66"/>
    <mergeCell ref="D67:E68"/>
    <mergeCell ref="D69:E70"/>
    <mergeCell ref="D80:E81"/>
    <mergeCell ref="D82:E83"/>
    <mergeCell ref="M83:N83"/>
    <mergeCell ref="M90:N90"/>
    <mergeCell ref="G96:L97"/>
    <mergeCell ref="G99:L99"/>
    <mergeCell ref="D100:E101"/>
    <mergeCell ref="D102:E103"/>
    <mergeCell ref="M103:N103"/>
    <mergeCell ref="G106:L106"/>
    <mergeCell ref="P126:T126"/>
    <mergeCell ref="M113:N113"/>
    <mergeCell ref="K118:L118"/>
    <mergeCell ref="K119:L119"/>
    <mergeCell ref="K121:L121"/>
    <mergeCell ref="M121:N121"/>
  </mergeCells>
  <conditionalFormatting sqref="B1">
    <cfRule type="expression" priority="2">
      <formula>$A$1="X"</formula>
    </cfRule>
  </conditionalFormatting>
  <conditionalFormatting sqref="L114">
    <cfRule type="expression" dxfId="0" priority="1">
      <formula>AND($D$158="X",ROUND($L$170,7)&lt;&gt;ROUND($L$169,7))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97C-9D5D-4D71-A3D5-D57A2AADE284}">
  <dimension ref="C3:E117"/>
  <sheetViews>
    <sheetView tabSelected="1" topLeftCell="A9" workbookViewId="0">
      <selection activeCell="E32" sqref="E32"/>
    </sheetView>
  </sheetViews>
  <sheetFormatPr defaultRowHeight="14.4" x14ac:dyDescent="0.3"/>
  <cols>
    <col min="5" max="5" width="40.77734375" bestFit="1" customWidth="1"/>
  </cols>
  <sheetData>
    <row r="3" spans="3:5" ht="14.4" customHeight="1" x14ac:dyDescent="0.3">
      <c r="C3" s="480" t="s">
        <v>36</v>
      </c>
      <c r="D3" s="482" t="s">
        <v>37</v>
      </c>
      <c r="E3" s="99" t="s">
        <v>38</v>
      </c>
    </row>
    <row r="4" spans="3:5" x14ac:dyDescent="0.3">
      <c r="C4" s="481"/>
      <c r="D4" s="483"/>
      <c r="E4" s="99" t="s">
        <v>39</v>
      </c>
    </row>
    <row r="5" spans="3:5" x14ac:dyDescent="0.3">
      <c r="C5" s="481"/>
      <c r="D5" s="483"/>
      <c r="E5" s="99" t="s">
        <v>40</v>
      </c>
    </row>
    <row r="6" spans="3:5" x14ac:dyDescent="0.3">
      <c r="C6" s="481"/>
      <c r="D6" s="483"/>
      <c r="E6" s="99" t="s">
        <v>41</v>
      </c>
    </row>
    <row r="7" spans="3:5" x14ac:dyDescent="0.3">
      <c r="C7" s="481"/>
    </row>
    <row r="10" spans="3:5" ht="14.4" customHeight="1" x14ac:dyDescent="0.3">
      <c r="C10" s="477" t="s">
        <v>36</v>
      </c>
      <c r="D10" s="484" t="s">
        <v>42</v>
      </c>
      <c r="E10" s="100" t="s">
        <v>43</v>
      </c>
    </row>
    <row r="11" spans="3:5" x14ac:dyDescent="0.3">
      <c r="C11" s="496"/>
      <c r="D11" s="484"/>
      <c r="E11" s="100" t="s">
        <v>44</v>
      </c>
    </row>
    <row r="12" spans="3:5" x14ac:dyDescent="0.3">
      <c r="C12" s="496"/>
      <c r="D12" s="484"/>
      <c r="E12" s="100" t="s">
        <v>45</v>
      </c>
    </row>
    <row r="13" spans="3:5" x14ac:dyDescent="0.3">
      <c r="C13" s="496"/>
      <c r="D13" s="484"/>
      <c r="E13" s="100" t="s">
        <v>46</v>
      </c>
    </row>
    <row r="14" spans="3:5" x14ac:dyDescent="0.3">
      <c r="C14" s="496"/>
      <c r="D14" s="484"/>
      <c r="E14" s="101" t="s">
        <v>47</v>
      </c>
    </row>
    <row r="15" spans="3:5" x14ac:dyDescent="0.3">
      <c r="C15" s="496"/>
      <c r="D15" s="484"/>
      <c r="E15" s="100" t="s">
        <v>48</v>
      </c>
    </row>
    <row r="16" spans="3:5" x14ac:dyDescent="0.3">
      <c r="C16" s="496"/>
      <c r="D16" s="484"/>
      <c r="E16" s="100" t="s">
        <v>174</v>
      </c>
    </row>
    <row r="17" spans="3:5" x14ac:dyDescent="0.3">
      <c r="C17" s="496"/>
      <c r="D17" s="484"/>
      <c r="E17" s="100" t="s">
        <v>49</v>
      </c>
    </row>
    <row r="18" spans="3:5" x14ac:dyDescent="0.3">
      <c r="C18" s="496"/>
      <c r="D18" s="484"/>
      <c r="E18" s="100" t="s">
        <v>173</v>
      </c>
    </row>
    <row r="19" spans="3:5" x14ac:dyDescent="0.3">
      <c r="C19" s="496"/>
      <c r="D19" s="484"/>
      <c r="E19" s="100" t="s">
        <v>50</v>
      </c>
    </row>
    <row r="20" spans="3:5" x14ac:dyDescent="0.3">
      <c r="C20" s="496"/>
      <c r="D20" s="484"/>
      <c r="E20" s="100" t="s">
        <v>51</v>
      </c>
    </row>
    <row r="21" spans="3:5" x14ac:dyDescent="0.3">
      <c r="C21" s="496"/>
      <c r="D21" s="484"/>
      <c r="E21" s="100" t="s">
        <v>52</v>
      </c>
    </row>
    <row r="22" spans="3:5" ht="14.4" customHeight="1" x14ac:dyDescent="0.3">
      <c r="C22" s="496"/>
      <c r="D22" s="485" t="s">
        <v>53</v>
      </c>
      <c r="E22" s="102" t="s">
        <v>54</v>
      </c>
    </row>
    <row r="23" spans="3:5" x14ac:dyDescent="0.3">
      <c r="C23" s="496"/>
      <c r="D23" s="485"/>
      <c r="E23" s="102" t="s">
        <v>55</v>
      </c>
    </row>
    <row r="24" spans="3:5" x14ac:dyDescent="0.3">
      <c r="C24" s="496"/>
      <c r="D24" s="485"/>
      <c r="E24" s="102" t="s">
        <v>56</v>
      </c>
    </row>
    <row r="25" spans="3:5" x14ac:dyDescent="0.3">
      <c r="C25" s="496"/>
      <c r="D25" s="485"/>
      <c r="E25" s="102" t="s">
        <v>57</v>
      </c>
    </row>
    <row r="26" spans="3:5" x14ac:dyDescent="0.3">
      <c r="C26" s="496"/>
      <c r="D26" s="485"/>
      <c r="E26" s="102" t="s">
        <v>58</v>
      </c>
    </row>
    <row r="27" spans="3:5" x14ac:dyDescent="0.3">
      <c r="C27" s="496"/>
      <c r="D27" s="485"/>
      <c r="E27" s="102" t="s">
        <v>59</v>
      </c>
    </row>
    <row r="28" spans="3:5" x14ac:dyDescent="0.3">
      <c r="C28" s="496"/>
      <c r="D28" s="485"/>
      <c r="E28" s="102" t="s">
        <v>47</v>
      </c>
    </row>
    <row r="29" spans="3:5" x14ac:dyDescent="0.3">
      <c r="C29" s="496"/>
      <c r="D29" s="485"/>
      <c r="E29" s="102" t="s">
        <v>60</v>
      </c>
    </row>
    <row r="30" spans="3:5" x14ac:dyDescent="0.3">
      <c r="C30" s="496"/>
      <c r="D30" s="485"/>
      <c r="E30" s="103" t="s">
        <v>175</v>
      </c>
    </row>
    <row r="31" spans="3:5" x14ac:dyDescent="0.3">
      <c r="C31" s="496"/>
      <c r="D31" s="485"/>
      <c r="E31" s="103" t="s">
        <v>61</v>
      </c>
    </row>
    <row r="32" spans="3:5" x14ac:dyDescent="0.3">
      <c r="C32" s="496"/>
      <c r="D32" s="485"/>
      <c r="E32" s="103" t="s">
        <v>173</v>
      </c>
    </row>
    <row r="33" spans="3:5" x14ac:dyDescent="0.3">
      <c r="C33" s="496"/>
      <c r="D33" s="485"/>
      <c r="E33" s="103" t="s">
        <v>62</v>
      </c>
    </row>
    <row r="34" spans="3:5" x14ac:dyDescent="0.3">
      <c r="C34" s="497"/>
      <c r="D34" s="485"/>
      <c r="E34" s="103" t="s">
        <v>63</v>
      </c>
    </row>
    <row r="38" spans="3:5" x14ac:dyDescent="0.3">
      <c r="C38" s="486" t="s">
        <v>36</v>
      </c>
      <c r="D38" s="489" t="s">
        <v>64</v>
      </c>
      <c r="E38" s="104" t="s">
        <v>65</v>
      </c>
    </row>
    <row r="39" spans="3:5" x14ac:dyDescent="0.3">
      <c r="C39" s="487"/>
      <c r="D39" s="490"/>
      <c r="E39" s="104" t="s">
        <v>66</v>
      </c>
    </row>
    <row r="40" spans="3:5" x14ac:dyDescent="0.3">
      <c r="C40" s="487"/>
      <c r="D40" s="490"/>
      <c r="E40" s="104" t="s">
        <v>67</v>
      </c>
    </row>
    <row r="41" spans="3:5" x14ac:dyDescent="0.3">
      <c r="C41" s="487"/>
      <c r="D41" s="490"/>
      <c r="E41" s="104" t="s">
        <v>68</v>
      </c>
    </row>
    <row r="42" spans="3:5" x14ac:dyDescent="0.3">
      <c r="C42" s="487"/>
      <c r="D42" s="490"/>
      <c r="E42" s="104" t="s">
        <v>69</v>
      </c>
    </row>
    <row r="43" spans="3:5" x14ac:dyDescent="0.3">
      <c r="C43" s="487"/>
      <c r="D43" s="490"/>
      <c r="E43" s="104" t="s">
        <v>70</v>
      </c>
    </row>
    <row r="44" spans="3:5" x14ac:dyDescent="0.3">
      <c r="C44" s="487"/>
      <c r="D44" s="490"/>
      <c r="E44" s="104" t="s">
        <v>71</v>
      </c>
    </row>
    <row r="45" spans="3:5" x14ac:dyDescent="0.3">
      <c r="C45" s="487"/>
      <c r="D45" s="490"/>
      <c r="E45" s="104" t="s">
        <v>72</v>
      </c>
    </row>
    <row r="46" spans="3:5" x14ac:dyDescent="0.3">
      <c r="C46" s="487"/>
      <c r="D46" s="490"/>
      <c r="E46" s="104" t="s">
        <v>73</v>
      </c>
    </row>
    <row r="47" spans="3:5" x14ac:dyDescent="0.3">
      <c r="C47" s="487"/>
      <c r="D47" s="490"/>
      <c r="E47" s="104" t="s">
        <v>74</v>
      </c>
    </row>
    <row r="48" spans="3:5" x14ac:dyDescent="0.3">
      <c r="C48" s="487"/>
      <c r="D48" s="490"/>
      <c r="E48" s="104" t="s">
        <v>75</v>
      </c>
    </row>
    <row r="49" spans="3:5" x14ac:dyDescent="0.3">
      <c r="C49" s="487"/>
      <c r="D49" s="490"/>
      <c r="E49" s="104" t="s">
        <v>76</v>
      </c>
    </row>
    <row r="50" spans="3:5" x14ac:dyDescent="0.3">
      <c r="C50" s="487"/>
      <c r="D50" s="490"/>
      <c r="E50" s="104" t="s">
        <v>77</v>
      </c>
    </row>
    <row r="51" spans="3:5" x14ac:dyDescent="0.3">
      <c r="C51" s="487"/>
      <c r="D51" s="490"/>
      <c r="E51" s="104" t="s">
        <v>78</v>
      </c>
    </row>
    <row r="52" spans="3:5" x14ac:dyDescent="0.3">
      <c r="C52" s="487"/>
      <c r="D52" s="490"/>
      <c r="E52" s="104" t="s">
        <v>79</v>
      </c>
    </row>
    <row r="53" spans="3:5" x14ac:dyDescent="0.3">
      <c r="C53" s="487"/>
      <c r="D53" s="490"/>
      <c r="E53" s="104" t="s">
        <v>80</v>
      </c>
    </row>
    <row r="54" spans="3:5" x14ac:dyDescent="0.3">
      <c r="C54" s="488"/>
      <c r="D54" s="490"/>
      <c r="E54" s="104" t="s">
        <v>81</v>
      </c>
    </row>
    <row r="58" spans="3:5" ht="15" customHeight="1" x14ac:dyDescent="0.3">
      <c r="C58" s="486" t="s">
        <v>36</v>
      </c>
      <c r="D58" s="491" t="s">
        <v>82</v>
      </c>
      <c r="E58" s="105" t="s">
        <v>83</v>
      </c>
    </row>
    <row r="59" spans="3:5" x14ac:dyDescent="0.3">
      <c r="C59" s="487"/>
      <c r="D59" s="492"/>
      <c r="E59" s="106" t="s">
        <v>84</v>
      </c>
    </row>
    <row r="60" spans="3:5" x14ac:dyDescent="0.3">
      <c r="C60" s="487"/>
      <c r="D60" s="492"/>
      <c r="E60" s="107" t="s">
        <v>85</v>
      </c>
    </row>
    <row r="61" spans="3:5" x14ac:dyDescent="0.3">
      <c r="C61" s="487"/>
      <c r="D61" s="492"/>
      <c r="E61" s="105" t="s">
        <v>86</v>
      </c>
    </row>
    <row r="62" spans="3:5" x14ac:dyDescent="0.3">
      <c r="C62" s="487"/>
      <c r="D62" s="492"/>
      <c r="E62" s="108" t="s">
        <v>87</v>
      </c>
    </row>
    <row r="63" spans="3:5" x14ac:dyDescent="0.3">
      <c r="C63" s="487"/>
      <c r="D63" s="492"/>
      <c r="E63" s="106" t="s">
        <v>88</v>
      </c>
    </row>
    <row r="64" spans="3:5" x14ac:dyDescent="0.3">
      <c r="C64" s="487"/>
      <c r="D64" s="492"/>
      <c r="E64" s="109" t="s">
        <v>89</v>
      </c>
    </row>
    <row r="65" spans="3:5" x14ac:dyDescent="0.3">
      <c r="C65" s="487"/>
      <c r="D65" s="492"/>
      <c r="E65" s="107" t="s">
        <v>90</v>
      </c>
    </row>
    <row r="66" spans="3:5" x14ac:dyDescent="0.3">
      <c r="C66" s="487"/>
      <c r="D66" s="492"/>
      <c r="E66" s="106" t="s">
        <v>91</v>
      </c>
    </row>
    <row r="67" spans="3:5" x14ac:dyDescent="0.3">
      <c r="C67" s="487"/>
      <c r="D67" s="492"/>
      <c r="E67" s="106" t="s">
        <v>92</v>
      </c>
    </row>
    <row r="68" spans="3:5" x14ac:dyDescent="0.3">
      <c r="C68" s="487"/>
      <c r="D68" s="492"/>
      <c r="E68" s="106" t="s">
        <v>93</v>
      </c>
    </row>
    <row r="69" spans="3:5" x14ac:dyDescent="0.3">
      <c r="C69" s="488"/>
      <c r="D69" s="492"/>
      <c r="E69" s="107" t="s">
        <v>94</v>
      </c>
    </row>
    <row r="73" spans="3:5" x14ac:dyDescent="0.3">
      <c r="D73" s="493" t="s">
        <v>95</v>
      </c>
      <c r="E73" s="110" t="s">
        <v>96</v>
      </c>
    </row>
    <row r="74" spans="3:5" x14ac:dyDescent="0.3">
      <c r="D74" s="494"/>
      <c r="E74" s="111" t="s">
        <v>97</v>
      </c>
    </row>
    <row r="75" spans="3:5" x14ac:dyDescent="0.3">
      <c r="D75" s="494"/>
      <c r="E75" s="111" t="s">
        <v>98</v>
      </c>
    </row>
    <row r="76" spans="3:5" x14ac:dyDescent="0.3">
      <c r="D76" s="494"/>
      <c r="E76" s="111" t="s">
        <v>99</v>
      </c>
    </row>
    <row r="77" spans="3:5" x14ac:dyDescent="0.3">
      <c r="D77" s="494"/>
      <c r="E77" s="111"/>
    </row>
    <row r="78" spans="3:5" x14ac:dyDescent="0.3">
      <c r="D78" s="494"/>
      <c r="E78" s="111"/>
    </row>
    <row r="79" spans="3:5" x14ac:dyDescent="0.3">
      <c r="D79" s="494"/>
      <c r="E79" s="111"/>
    </row>
    <row r="80" spans="3:5" x14ac:dyDescent="0.3">
      <c r="D80" s="495"/>
      <c r="E80" s="112"/>
    </row>
    <row r="84" spans="3:5" x14ac:dyDescent="0.3">
      <c r="C84" s="477" t="s">
        <v>36</v>
      </c>
      <c r="D84" s="479" t="s">
        <v>100</v>
      </c>
      <c r="E84" s="113" t="s">
        <v>101</v>
      </c>
    </row>
    <row r="85" spans="3:5" x14ac:dyDescent="0.3">
      <c r="C85" s="478"/>
      <c r="D85" s="479"/>
      <c r="E85" s="113" t="s">
        <v>102</v>
      </c>
    </row>
    <row r="86" spans="3:5" x14ac:dyDescent="0.3">
      <c r="C86" s="478"/>
      <c r="D86" s="479"/>
      <c r="E86" s="113" t="s">
        <v>103</v>
      </c>
    </row>
    <row r="87" spans="3:5" x14ac:dyDescent="0.3">
      <c r="C87" s="478"/>
      <c r="D87" s="479"/>
      <c r="E87" s="113" t="s">
        <v>104</v>
      </c>
    </row>
    <row r="88" spans="3:5" x14ac:dyDescent="0.3">
      <c r="C88" s="478"/>
      <c r="D88" s="479"/>
      <c r="E88" s="113" t="s">
        <v>105</v>
      </c>
    </row>
    <row r="92" spans="3:5" x14ac:dyDescent="0.3">
      <c r="D92" s="467" t="s">
        <v>136</v>
      </c>
      <c r="E92" s="114" t="s">
        <v>135</v>
      </c>
    </row>
    <row r="93" spans="3:5" x14ac:dyDescent="0.3">
      <c r="D93" s="467"/>
      <c r="E93" s="114"/>
    </row>
    <row r="94" spans="3:5" x14ac:dyDescent="0.3">
      <c r="D94" s="467"/>
      <c r="E94" s="114"/>
    </row>
    <row r="95" spans="3:5" x14ac:dyDescent="0.3">
      <c r="D95" s="467"/>
      <c r="E95" s="114"/>
    </row>
    <row r="96" spans="3:5" x14ac:dyDescent="0.3">
      <c r="D96" s="467"/>
      <c r="E96" s="114"/>
    </row>
    <row r="97" spans="3:5" x14ac:dyDescent="0.3">
      <c r="D97" s="467"/>
      <c r="E97" s="114"/>
    </row>
    <row r="98" spans="3:5" x14ac:dyDescent="0.3">
      <c r="D98" s="467"/>
      <c r="E98" s="114"/>
    </row>
    <row r="99" spans="3:5" x14ac:dyDescent="0.3">
      <c r="D99" s="467"/>
      <c r="E99" s="114"/>
    </row>
    <row r="100" spans="3:5" x14ac:dyDescent="0.3">
      <c r="D100" s="467"/>
      <c r="E100" s="114"/>
    </row>
    <row r="101" spans="3:5" x14ac:dyDescent="0.3">
      <c r="D101" s="467"/>
      <c r="E101" s="114"/>
    </row>
    <row r="102" spans="3:5" x14ac:dyDescent="0.3">
      <c r="D102" s="467"/>
      <c r="E102" s="114"/>
    </row>
    <row r="106" spans="3:5" x14ac:dyDescent="0.3">
      <c r="C106" s="468" t="s">
        <v>36</v>
      </c>
      <c r="D106" s="470" t="s">
        <v>25</v>
      </c>
      <c r="E106" s="115" t="s">
        <v>107</v>
      </c>
    </row>
    <row r="107" spans="3:5" x14ac:dyDescent="0.3">
      <c r="C107" s="469"/>
      <c r="D107" s="470"/>
      <c r="E107" s="116"/>
    </row>
    <row r="108" spans="3:5" x14ac:dyDescent="0.3">
      <c r="C108" s="469"/>
      <c r="D108" s="470"/>
      <c r="E108" s="116"/>
    </row>
    <row r="109" spans="3:5" x14ac:dyDescent="0.3">
      <c r="C109" s="469"/>
      <c r="D109" s="470"/>
      <c r="E109" s="117"/>
    </row>
    <row r="110" spans="3:5" x14ac:dyDescent="0.3">
      <c r="C110" s="469"/>
      <c r="D110" s="470"/>
      <c r="E110" s="118"/>
    </row>
    <row r="114" spans="3:5" x14ac:dyDescent="0.3">
      <c r="C114" s="471" t="s">
        <v>36</v>
      </c>
      <c r="D114" s="474" t="s">
        <v>108</v>
      </c>
      <c r="E114" s="119" t="s">
        <v>109</v>
      </c>
    </row>
    <row r="115" spans="3:5" x14ac:dyDescent="0.3">
      <c r="C115" s="472"/>
      <c r="D115" s="475"/>
      <c r="E115" s="119" t="s">
        <v>110</v>
      </c>
    </row>
    <row r="116" spans="3:5" x14ac:dyDescent="0.3">
      <c r="C116" s="472"/>
      <c r="D116" s="475"/>
      <c r="E116" s="120"/>
    </row>
    <row r="117" spans="3:5" x14ac:dyDescent="0.3">
      <c r="C117" s="473"/>
      <c r="D117" s="476"/>
      <c r="E117" s="121"/>
    </row>
  </sheetData>
  <mergeCells count="17">
    <mergeCell ref="C84:C88"/>
    <mergeCell ref="D84:D88"/>
    <mergeCell ref="C3:C7"/>
    <mergeCell ref="D3:D6"/>
    <mergeCell ref="D10:D21"/>
    <mergeCell ref="D22:D34"/>
    <mergeCell ref="C38:C54"/>
    <mergeCell ref="D38:D54"/>
    <mergeCell ref="C58:C69"/>
    <mergeCell ref="D58:D69"/>
    <mergeCell ref="D73:D80"/>
    <mergeCell ref="C10:C34"/>
    <mergeCell ref="D92:D102"/>
    <mergeCell ref="C106:C110"/>
    <mergeCell ref="D106:D110"/>
    <mergeCell ref="C114:C117"/>
    <mergeCell ref="D114:D1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61A1-AC24-477D-A54C-831FF26F113C}">
  <dimension ref="A3:W44"/>
  <sheetViews>
    <sheetView workbookViewId="0">
      <selection activeCell="H33" sqref="H33"/>
    </sheetView>
  </sheetViews>
  <sheetFormatPr defaultRowHeight="14.4" x14ac:dyDescent="0.3"/>
  <cols>
    <col min="1" max="2" width="8.88671875" style="126"/>
    <col min="3" max="3" width="8.88671875" style="125"/>
    <col min="4" max="4" width="13.44140625" style="126" customWidth="1"/>
    <col min="5" max="5" width="32" style="126" customWidth="1"/>
    <col min="6" max="6" width="14" style="126" customWidth="1"/>
    <col min="7" max="7" width="12.88671875" style="127" customWidth="1"/>
    <col min="8" max="8" width="21.5546875" style="128" bestFit="1" customWidth="1"/>
    <col min="9" max="9" width="7.77734375" style="128" customWidth="1"/>
    <col min="10" max="10" width="25.6640625" style="128" bestFit="1" customWidth="1"/>
    <col min="11" max="11" width="5.77734375" style="128" customWidth="1"/>
    <col min="12" max="12" width="8.5546875" style="130" customWidth="1"/>
    <col min="13" max="13" width="5.88671875" style="126" customWidth="1"/>
    <col min="14" max="14" width="13.5546875" style="126" customWidth="1"/>
    <col min="15" max="16384" width="8.88671875" style="126"/>
  </cols>
  <sheetData>
    <row r="3" spans="1:23" s="123" customFormat="1" ht="30.6" customHeight="1" x14ac:dyDescent="0.3">
      <c r="A3" s="122"/>
      <c r="B3" s="122"/>
      <c r="C3" s="498" t="s">
        <v>124</v>
      </c>
      <c r="D3" s="498"/>
      <c r="E3" s="498"/>
      <c r="F3" s="498"/>
      <c r="G3" s="498"/>
      <c r="H3" s="498"/>
      <c r="I3" s="498"/>
      <c r="J3" s="498"/>
      <c r="K3" s="498"/>
      <c r="L3" s="498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</row>
    <row r="4" spans="1:23" s="123" customFormat="1" ht="24.6" customHeight="1" x14ac:dyDescent="0.3">
      <c r="A4" s="124"/>
      <c r="B4" s="124"/>
      <c r="C4" s="499" t="s">
        <v>125</v>
      </c>
      <c r="D4" s="499"/>
      <c r="E4" s="499"/>
      <c r="F4" s="499"/>
      <c r="G4" s="499"/>
      <c r="H4" s="499"/>
      <c r="I4" s="499"/>
      <c r="J4" s="499"/>
      <c r="K4" s="499"/>
      <c r="L4" s="499"/>
      <c r="M4" s="124"/>
      <c r="N4" s="124"/>
      <c r="O4" s="122"/>
      <c r="P4" s="122"/>
      <c r="Q4" s="122"/>
      <c r="R4" s="122"/>
      <c r="S4" s="122"/>
      <c r="T4" s="122"/>
      <c r="U4" s="122"/>
      <c r="V4" s="122"/>
      <c r="W4" s="122"/>
    </row>
    <row r="5" spans="1:23" customFormat="1" ht="15" customHeight="1" x14ac:dyDescent="0.3">
      <c r="A5" s="125"/>
      <c r="B5" s="125"/>
      <c r="C5" s="125"/>
      <c r="D5" s="126"/>
      <c r="E5" s="126"/>
      <c r="F5" s="126"/>
      <c r="G5" s="127"/>
      <c r="H5" s="128"/>
      <c r="I5" s="128"/>
      <c r="J5" s="129"/>
      <c r="K5" s="128"/>
      <c r="L5" s="130"/>
      <c r="M5" s="125"/>
      <c r="N5" s="125"/>
      <c r="O5" s="125"/>
      <c r="P5" s="131"/>
      <c r="Q5" s="131"/>
      <c r="R5" s="131"/>
      <c r="S5" s="131"/>
      <c r="T5" s="131"/>
      <c r="U5" s="131"/>
      <c r="V5" s="131"/>
      <c r="W5" s="131"/>
    </row>
    <row r="6" spans="1:23" s="137" customFormat="1" ht="16.2" customHeight="1" x14ac:dyDescent="0.3">
      <c r="A6" s="132"/>
      <c r="B6" s="132"/>
      <c r="C6" s="132"/>
      <c r="D6" s="132" t="s">
        <v>111</v>
      </c>
      <c r="E6" s="132"/>
      <c r="F6" s="132"/>
      <c r="G6" s="133"/>
      <c r="H6" s="133"/>
      <c r="I6" s="133"/>
      <c r="J6" s="134">
        <f>'Simples Revenda'!U62</f>
        <v>2674214.3275424559</v>
      </c>
      <c r="K6" s="133"/>
      <c r="L6" s="135"/>
      <c r="M6" s="132"/>
      <c r="N6" s="132"/>
      <c r="O6" s="132"/>
      <c r="P6" s="136"/>
      <c r="Q6" s="136"/>
      <c r="R6" s="136"/>
      <c r="S6" s="136"/>
      <c r="T6" s="136"/>
      <c r="U6" s="136"/>
      <c r="V6" s="136"/>
      <c r="W6" s="136"/>
    </row>
    <row r="7" spans="1:23" customFormat="1" ht="15" customHeight="1" x14ac:dyDescent="0.3">
      <c r="A7" s="125"/>
      <c r="B7" s="125"/>
      <c r="C7" s="125"/>
      <c r="D7" s="126"/>
      <c r="E7" s="126"/>
      <c r="F7" s="126"/>
      <c r="G7" s="127"/>
      <c r="H7" s="129" t="s">
        <v>112</v>
      </c>
      <c r="I7" s="129"/>
      <c r="J7" s="128"/>
      <c r="K7" s="128"/>
      <c r="L7" s="130"/>
      <c r="M7" s="125"/>
      <c r="N7" s="125"/>
      <c r="O7" s="125"/>
      <c r="P7" s="131"/>
      <c r="Q7" s="131"/>
      <c r="R7" s="131"/>
      <c r="S7" s="131"/>
      <c r="T7" s="131"/>
      <c r="U7" s="131"/>
      <c r="V7" s="131"/>
      <c r="W7" s="131"/>
    </row>
    <row r="8" spans="1:23" customFormat="1" ht="15" customHeight="1" x14ac:dyDescent="0.3">
      <c r="A8" s="138"/>
      <c r="B8" s="138"/>
      <c r="C8" s="138" t="s">
        <v>113</v>
      </c>
      <c r="D8" s="139" t="s">
        <v>129</v>
      </c>
      <c r="E8" s="139"/>
      <c r="F8" s="139"/>
      <c r="G8" s="127"/>
      <c r="H8" s="128"/>
      <c r="I8" s="129"/>
      <c r="J8" s="139">
        <f>SUM(H9:H9)</f>
        <v>0</v>
      </c>
      <c r="K8" s="139"/>
      <c r="L8" s="130"/>
      <c r="M8" s="138"/>
      <c r="N8" s="138"/>
      <c r="O8" s="138"/>
      <c r="P8" s="131"/>
      <c r="Q8" s="131"/>
      <c r="R8" s="131"/>
      <c r="S8" s="131"/>
      <c r="T8" s="131"/>
      <c r="U8" s="131"/>
      <c r="V8" s="131"/>
      <c r="W8" s="131"/>
    </row>
    <row r="9" spans="1:23" customFormat="1" ht="15" customHeight="1" x14ac:dyDescent="0.3">
      <c r="A9" s="138"/>
      <c r="B9" s="138"/>
      <c r="C9" s="138"/>
      <c r="D9" s="168" t="s">
        <v>137</v>
      </c>
      <c r="E9" s="169"/>
      <c r="F9" s="170"/>
      <c r="G9" s="171"/>
      <c r="H9" s="140">
        <f>'Simples Revenda'!U126-'Simples Revenda'!U62</f>
        <v>0</v>
      </c>
      <c r="I9" s="129"/>
      <c r="J9" s="139"/>
      <c r="K9" s="139"/>
      <c r="L9" s="130"/>
      <c r="M9" s="138"/>
      <c r="N9" s="138"/>
      <c r="O9" s="138"/>
      <c r="P9" s="131"/>
      <c r="Q9" s="131"/>
      <c r="R9" s="131"/>
      <c r="S9" s="131"/>
      <c r="T9" s="131"/>
      <c r="U9" s="131"/>
      <c r="V9" s="131"/>
      <c r="W9" s="131"/>
    </row>
    <row r="10" spans="1:23" customFormat="1" ht="15" customHeight="1" x14ac:dyDescent="0.3">
      <c r="A10" s="138"/>
      <c r="B10" s="138"/>
      <c r="C10" s="138"/>
      <c r="D10" s="258" t="s">
        <v>128</v>
      </c>
      <c r="E10" s="259"/>
      <c r="F10" s="259"/>
      <c r="G10" s="260"/>
      <c r="H10" s="140">
        <f>'Simples Revenda'!U62-'Simples Revenda'!U52</f>
        <v>0</v>
      </c>
      <c r="I10" s="128"/>
      <c r="J10" s="139"/>
      <c r="K10" s="139"/>
      <c r="L10" s="130"/>
      <c r="M10" s="138"/>
      <c r="N10" s="138"/>
      <c r="O10" s="138"/>
      <c r="P10" s="131"/>
      <c r="Q10" s="131"/>
      <c r="R10" s="131"/>
      <c r="S10" s="131"/>
      <c r="T10" s="131"/>
      <c r="U10" s="131"/>
      <c r="V10" s="131"/>
      <c r="W10" s="131"/>
    </row>
    <row r="11" spans="1:23" customFormat="1" ht="15" customHeight="1" x14ac:dyDescent="0.3">
      <c r="A11" s="138"/>
      <c r="B11" s="138"/>
      <c r="C11" s="138"/>
      <c r="D11" s="127"/>
      <c r="E11" s="127"/>
      <c r="F11" s="139"/>
      <c r="G11" s="127"/>
      <c r="H11" s="128"/>
      <c r="I11" s="129"/>
      <c r="J11" s="139"/>
      <c r="K11" s="139"/>
      <c r="L11" s="130"/>
      <c r="M11" s="138"/>
      <c r="N11" s="138"/>
      <c r="O11" s="138"/>
      <c r="P11" s="131"/>
      <c r="Q11" s="131"/>
      <c r="R11" s="131"/>
      <c r="S11" s="131"/>
      <c r="T11" s="131"/>
      <c r="U11" s="131"/>
      <c r="V11" s="131"/>
      <c r="W11" s="131"/>
    </row>
    <row r="12" spans="1:23" s="178" customFormat="1" ht="27" customHeight="1" x14ac:dyDescent="0.3">
      <c r="A12" s="172"/>
      <c r="B12" s="172"/>
      <c r="C12" s="172" t="s">
        <v>114</v>
      </c>
      <c r="D12" s="173" t="s">
        <v>115</v>
      </c>
      <c r="E12" s="173"/>
      <c r="F12" s="174"/>
      <c r="G12" s="175"/>
      <c r="H12" s="175"/>
      <c r="I12" s="175"/>
      <c r="J12" s="160">
        <f>J6-J8</f>
        <v>2674214.3275424559</v>
      </c>
      <c r="K12" s="173"/>
      <c r="L12" s="177"/>
      <c r="M12" s="172"/>
      <c r="N12" s="176">
        <v>1</v>
      </c>
      <c r="O12" s="172"/>
      <c r="P12" s="177"/>
      <c r="Q12" s="177"/>
      <c r="R12" s="177"/>
      <c r="S12" s="177"/>
      <c r="T12" s="177"/>
      <c r="U12" s="177"/>
      <c r="V12" s="177"/>
      <c r="W12" s="177"/>
    </row>
    <row r="13" spans="1:23" customFormat="1" ht="15" customHeight="1" x14ac:dyDescent="0.3">
      <c r="A13" s="138"/>
      <c r="B13" s="138"/>
      <c r="C13" s="138"/>
      <c r="D13" s="139"/>
      <c r="E13" s="139"/>
      <c r="F13" s="139"/>
      <c r="G13" s="127"/>
      <c r="H13" s="128"/>
      <c r="I13" s="128"/>
      <c r="J13" s="139"/>
      <c r="K13" s="139"/>
      <c r="L13" s="130"/>
      <c r="M13" s="138"/>
      <c r="N13" s="138"/>
      <c r="O13" s="138"/>
      <c r="P13" s="131"/>
      <c r="Q13" s="131"/>
      <c r="R13" s="131"/>
      <c r="S13" s="131"/>
      <c r="T13" s="131"/>
      <c r="U13" s="131"/>
      <c r="V13" s="131"/>
      <c r="W13" s="131"/>
    </row>
    <row r="14" spans="1:23" customFormat="1" ht="15" customHeight="1" x14ac:dyDescent="0.3">
      <c r="A14" s="138"/>
      <c r="B14" s="138"/>
      <c r="C14" s="138" t="s">
        <v>113</v>
      </c>
      <c r="D14" s="139" t="s">
        <v>129</v>
      </c>
      <c r="E14" s="139"/>
      <c r="F14" s="139"/>
      <c r="G14" s="127"/>
      <c r="H14" s="128"/>
      <c r="I14" s="129"/>
      <c r="J14" s="139">
        <f>SUM(H15:H15)</f>
        <v>213937.14620339646</v>
      </c>
      <c r="K14" s="139"/>
      <c r="L14" s="130">
        <f>J14/$J$12</f>
        <v>0.08</v>
      </c>
      <c r="M14" s="138"/>
      <c r="N14" s="138"/>
      <c r="O14" s="138"/>
      <c r="P14" s="131"/>
      <c r="Q14" s="131"/>
      <c r="R14" s="131"/>
      <c r="S14" s="131"/>
      <c r="T14" s="131"/>
      <c r="U14" s="131"/>
      <c r="V14" s="131"/>
      <c r="W14" s="131"/>
    </row>
    <row r="15" spans="1:23" customFormat="1" ht="15" customHeight="1" x14ac:dyDescent="0.3">
      <c r="A15" s="138"/>
      <c r="B15" s="138"/>
      <c r="C15" s="138"/>
      <c r="D15" s="168" t="s">
        <v>106</v>
      </c>
      <c r="E15" s="169"/>
      <c r="F15" s="170"/>
      <c r="G15" s="171"/>
      <c r="H15" s="140">
        <f>'Simples Revenda'!U39</f>
        <v>213937.14620339646</v>
      </c>
      <c r="I15" s="129"/>
      <c r="J15" s="139"/>
      <c r="K15" s="139"/>
      <c r="L15" s="130"/>
      <c r="M15" s="138"/>
      <c r="N15" s="138"/>
      <c r="O15" s="138"/>
      <c r="P15" s="131"/>
      <c r="Q15" s="131"/>
      <c r="R15" s="131"/>
      <c r="S15" s="131"/>
      <c r="T15" s="131"/>
      <c r="U15" s="131"/>
      <c r="V15" s="131"/>
      <c r="W15" s="131"/>
    </row>
    <row r="16" spans="1:23" customFormat="1" ht="15" customHeight="1" x14ac:dyDescent="0.3">
      <c r="A16" s="138"/>
      <c r="B16" s="138"/>
      <c r="C16" s="138"/>
      <c r="D16" s="139"/>
      <c r="E16" s="139"/>
      <c r="F16" s="139"/>
      <c r="G16" s="127"/>
      <c r="H16" s="128"/>
      <c r="I16" s="128"/>
      <c r="J16" s="139"/>
      <c r="K16" s="139"/>
      <c r="L16" s="130"/>
      <c r="M16" s="138"/>
      <c r="N16" s="138"/>
      <c r="O16" s="138"/>
      <c r="P16" s="131"/>
      <c r="Q16" s="131"/>
      <c r="R16" s="131"/>
      <c r="S16" s="131"/>
      <c r="T16" s="131"/>
      <c r="U16" s="131"/>
      <c r="V16" s="131"/>
      <c r="W16" s="131"/>
    </row>
    <row r="17" spans="1:23" customFormat="1" ht="15" customHeight="1" x14ac:dyDescent="0.3">
      <c r="A17" s="138"/>
      <c r="B17" s="138"/>
      <c r="C17" s="138"/>
      <c r="D17" s="139"/>
      <c r="E17" s="139"/>
      <c r="F17" s="139"/>
      <c r="G17" s="127"/>
      <c r="H17" s="128"/>
      <c r="I17" s="128"/>
      <c r="J17" s="139"/>
      <c r="K17" s="139"/>
      <c r="L17" s="130"/>
      <c r="M17" s="138"/>
      <c r="N17" s="138"/>
      <c r="O17" s="138"/>
      <c r="P17" s="131"/>
      <c r="Q17" s="131"/>
      <c r="R17" s="131"/>
      <c r="S17" s="131"/>
      <c r="T17" s="131"/>
      <c r="U17" s="131"/>
      <c r="V17" s="131"/>
      <c r="W17" s="131"/>
    </row>
    <row r="18" spans="1:23" customFormat="1" ht="15" customHeight="1" x14ac:dyDescent="0.3">
      <c r="A18" s="138"/>
      <c r="B18" s="138"/>
      <c r="C18" s="138" t="s">
        <v>113</v>
      </c>
      <c r="D18" s="139" t="s">
        <v>127</v>
      </c>
      <c r="E18" s="139"/>
      <c r="F18" s="127"/>
      <c r="G18" s="127"/>
      <c r="H18" s="128"/>
      <c r="I18" s="128"/>
      <c r="J18" s="139">
        <f>SUM(H19:H19)</f>
        <v>1370000</v>
      </c>
      <c r="K18" s="139"/>
      <c r="L18" s="130">
        <f>J18/$J$12</f>
        <v>0.51229999999999998</v>
      </c>
      <c r="M18" s="138"/>
      <c r="N18" s="138"/>
      <c r="O18" s="138"/>
      <c r="P18" s="131"/>
      <c r="Q18" s="131"/>
      <c r="R18" s="131"/>
      <c r="S18" s="131"/>
      <c r="T18" s="131"/>
      <c r="U18" s="131"/>
      <c r="V18" s="131"/>
      <c r="W18" s="131"/>
    </row>
    <row r="19" spans="1:23" customFormat="1" ht="15" customHeight="1" x14ac:dyDescent="0.3">
      <c r="A19" s="125"/>
      <c r="B19" s="125"/>
      <c r="C19" s="125"/>
      <c r="D19" s="99" t="s">
        <v>126</v>
      </c>
      <c r="E19" s="99"/>
      <c r="F19" s="180"/>
      <c r="G19" s="181">
        <f>H19/$J$12</f>
        <v>0.51229999999999998</v>
      </c>
      <c r="H19" s="146">
        <f>'Simples Revenda'!U27</f>
        <v>1370000</v>
      </c>
      <c r="I19" s="128"/>
      <c r="J19" s="128"/>
      <c r="K19" s="128"/>
      <c r="L19" s="130"/>
      <c r="M19" s="125"/>
      <c r="N19" s="125"/>
      <c r="O19" s="125"/>
      <c r="P19" s="131"/>
      <c r="Q19" s="131"/>
      <c r="R19" s="131"/>
      <c r="S19" s="131"/>
      <c r="T19" s="131"/>
      <c r="U19" s="131"/>
      <c r="V19" s="131"/>
      <c r="W19" s="131"/>
    </row>
    <row r="20" spans="1:23" customFormat="1" ht="15" customHeight="1" x14ac:dyDescent="0.3">
      <c r="A20" s="125"/>
      <c r="B20" s="125"/>
      <c r="C20" s="125"/>
      <c r="D20" s="126"/>
      <c r="E20" s="126"/>
      <c r="F20" s="126"/>
      <c r="G20" s="127"/>
      <c r="H20" s="128"/>
      <c r="I20" s="128"/>
      <c r="J20" s="128"/>
      <c r="K20" s="128"/>
      <c r="L20" s="130"/>
      <c r="M20" s="125"/>
      <c r="N20" s="125"/>
      <c r="O20" s="125"/>
      <c r="P20" s="131"/>
      <c r="Q20" s="131"/>
      <c r="R20" s="131"/>
      <c r="S20" s="131"/>
      <c r="T20" s="131"/>
      <c r="U20" s="131"/>
      <c r="V20" s="131"/>
      <c r="W20" s="131"/>
    </row>
    <row r="21" spans="1:23" customFormat="1" ht="15" customHeight="1" x14ac:dyDescent="0.3">
      <c r="A21" s="141"/>
      <c r="B21" s="141"/>
      <c r="C21" s="141" t="s">
        <v>114</v>
      </c>
      <c r="D21" s="147" t="s">
        <v>116</v>
      </c>
      <c r="E21" s="147"/>
      <c r="F21" s="147"/>
      <c r="G21" s="143"/>
      <c r="H21" s="144"/>
      <c r="I21" s="144"/>
      <c r="J21" s="142">
        <f>J12-J18-J14</f>
        <v>1090277.1813390595</v>
      </c>
      <c r="K21" s="142"/>
      <c r="L21" s="197"/>
      <c r="M21" s="141"/>
      <c r="N21" s="145">
        <f>N12-L18-L14</f>
        <v>0.40770000000000001</v>
      </c>
      <c r="O21" s="141"/>
      <c r="P21" s="98"/>
      <c r="Q21" s="98"/>
      <c r="R21" s="98"/>
      <c r="S21" s="98"/>
      <c r="T21" s="98"/>
      <c r="U21" s="98"/>
      <c r="V21" s="98"/>
      <c r="W21" s="98"/>
    </row>
    <row r="22" spans="1:23" customFormat="1" ht="15" customHeight="1" x14ac:dyDescent="0.3">
      <c r="A22" s="125"/>
      <c r="B22" s="125"/>
      <c r="C22" s="125"/>
      <c r="D22" s="126"/>
      <c r="E22" s="126"/>
      <c r="F22" s="126"/>
      <c r="G22" s="127"/>
      <c r="H22" s="128"/>
      <c r="I22" s="128"/>
      <c r="J22" s="128"/>
      <c r="K22" s="128"/>
      <c r="L22" s="130"/>
      <c r="M22" s="125"/>
      <c r="N22" s="125"/>
      <c r="O22" s="125"/>
      <c r="P22" s="131"/>
      <c r="Q22" s="131"/>
      <c r="R22" s="131"/>
      <c r="S22" s="131"/>
      <c r="T22" s="131"/>
      <c r="U22" s="131"/>
      <c r="V22" s="131"/>
      <c r="W22" s="131"/>
    </row>
    <row r="23" spans="1:23" customFormat="1" ht="15" customHeight="1" x14ac:dyDescent="0.3">
      <c r="A23" s="138"/>
      <c r="B23" s="138"/>
      <c r="C23" s="138" t="s">
        <v>113</v>
      </c>
      <c r="D23" s="139" t="s">
        <v>117</v>
      </c>
      <c r="E23" s="139"/>
      <c r="F23" s="139"/>
      <c r="G23" s="127"/>
      <c r="H23" s="128"/>
      <c r="I23" s="128"/>
      <c r="J23" s="148">
        <f>SUM(H24:H27)</f>
        <v>767766.93343743915</v>
      </c>
      <c r="K23" s="148"/>
      <c r="L23" s="130">
        <f>J23/$J$12</f>
        <v>0.28710000000000002</v>
      </c>
      <c r="M23" s="138"/>
      <c r="N23" s="138"/>
      <c r="O23" s="138"/>
      <c r="P23" s="131"/>
      <c r="Q23" s="131"/>
      <c r="R23" s="131"/>
      <c r="S23" s="131"/>
      <c r="T23" s="131"/>
      <c r="U23" s="131"/>
      <c r="V23" s="131"/>
      <c r="W23" s="131"/>
    </row>
    <row r="24" spans="1:23" customFormat="1" ht="15" customHeight="1" x14ac:dyDescent="0.3">
      <c r="A24" s="125"/>
      <c r="B24" s="125"/>
      <c r="C24" s="125"/>
      <c r="D24" s="182" t="s">
        <v>118</v>
      </c>
      <c r="E24" s="182"/>
      <c r="F24" s="183"/>
      <c r="G24" s="184">
        <f>H24/$J$12</f>
        <v>6.2199999999999998E-2</v>
      </c>
      <c r="H24" s="149">
        <f>'Simples Revenda'!U32</f>
        <v>166336.13117314075</v>
      </c>
      <c r="I24" s="128"/>
      <c r="J24" s="128"/>
      <c r="K24" s="128"/>
      <c r="L24" s="130"/>
      <c r="M24" s="125"/>
      <c r="N24" s="125"/>
      <c r="O24" s="125"/>
      <c r="P24" s="131"/>
      <c r="Q24" s="131"/>
      <c r="R24" s="131"/>
      <c r="S24" s="131"/>
      <c r="T24" s="131"/>
      <c r="U24" s="131"/>
      <c r="V24" s="131"/>
      <c r="W24" s="131"/>
    </row>
    <row r="25" spans="1:23" customFormat="1" ht="15" customHeight="1" x14ac:dyDescent="0.3">
      <c r="A25" s="125"/>
      <c r="B25" s="125"/>
      <c r="C25" s="125"/>
      <c r="D25" s="97" t="s">
        <v>119</v>
      </c>
      <c r="E25" s="97"/>
      <c r="F25" s="179"/>
      <c r="G25" s="185">
        <f>H25/$J$12</f>
        <v>0.10489999999999998</v>
      </c>
      <c r="H25" s="149">
        <f>'Simples Revenda'!U33</f>
        <v>280525.08295920357</v>
      </c>
      <c r="I25" s="128"/>
      <c r="J25" s="128"/>
      <c r="K25" s="128"/>
      <c r="L25" s="130"/>
      <c r="M25" s="125"/>
      <c r="N25" s="125"/>
      <c r="O25" s="125"/>
      <c r="P25" s="131"/>
      <c r="Q25" s="131"/>
      <c r="R25" s="131"/>
      <c r="S25" s="131"/>
      <c r="T25" s="131"/>
      <c r="U25" s="131"/>
      <c r="V25" s="131"/>
      <c r="W25" s="131"/>
    </row>
    <row r="26" spans="1:23" customFormat="1" ht="15" customHeight="1" x14ac:dyDescent="0.3">
      <c r="A26" s="125"/>
      <c r="B26" s="125"/>
      <c r="C26" s="125"/>
      <c r="D26" s="186" t="s">
        <v>120</v>
      </c>
      <c r="E26" s="186"/>
      <c r="F26" s="187"/>
      <c r="G26" s="188">
        <f>H26/$J$12</f>
        <v>0.06</v>
      </c>
      <c r="H26" s="149">
        <f>'Simples Revenda'!U34</f>
        <v>160452.85965254734</v>
      </c>
      <c r="I26" s="128"/>
      <c r="J26" s="128"/>
      <c r="K26" s="128"/>
      <c r="L26" s="130"/>
      <c r="M26" s="125"/>
      <c r="N26" s="125"/>
      <c r="O26" s="125"/>
      <c r="P26" s="131"/>
      <c r="Q26" s="131"/>
      <c r="R26" s="131"/>
      <c r="S26" s="131"/>
      <c r="T26" s="131"/>
      <c r="U26" s="131"/>
      <c r="V26" s="131"/>
      <c r="W26" s="131"/>
    </row>
    <row r="27" spans="1:23" customFormat="1" ht="15" customHeight="1" x14ac:dyDescent="0.3">
      <c r="A27" s="125"/>
      <c r="B27" s="125"/>
      <c r="C27" s="125"/>
      <c r="D27" s="189" t="s">
        <v>25</v>
      </c>
      <c r="E27" s="189"/>
      <c r="F27" s="190"/>
      <c r="G27" s="191">
        <f>H27/$J$12</f>
        <v>0.06</v>
      </c>
      <c r="H27" s="149">
        <f>'Simples Revenda'!U43</f>
        <v>160452.85965254734</v>
      </c>
      <c r="I27" s="128"/>
      <c r="J27" s="128"/>
      <c r="K27" s="128"/>
      <c r="L27" s="130"/>
      <c r="M27" s="125"/>
      <c r="N27" s="125"/>
      <c r="O27" s="125"/>
      <c r="P27" s="131"/>
      <c r="Q27" s="131"/>
      <c r="R27" s="131"/>
      <c r="S27" s="131"/>
      <c r="T27" s="131"/>
      <c r="U27" s="131"/>
      <c r="V27" s="131"/>
      <c r="W27" s="131"/>
    </row>
    <row r="28" spans="1:23" customFormat="1" ht="15" customHeight="1" x14ac:dyDescent="0.3">
      <c r="A28" s="125"/>
      <c r="B28" s="125"/>
      <c r="C28" s="125"/>
      <c r="D28" s="126"/>
      <c r="E28" s="126"/>
      <c r="F28" s="126"/>
      <c r="G28" s="127"/>
      <c r="H28" s="128"/>
      <c r="I28" s="128"/>
      <c r="J28" s="128"/>
      <c r="K28" s="128"/>
      <c r="L28" s="130"/>
      <c r="M28" s="125"/>
      <c r="N28" s="125"/>
      <c r="O28" s="125"/>
      <c r="P28" s="131"/>
      <c r="Q28" s="131"/>
      <c r="R28" s="131"/>
      <c r="S28" s="131"/>
      <c r="T28" s="131"/>
      <c r="U28" s="131"/>
      <c r="V28" s="131"/>
      <c r="W28" s="131"/>
    </row>
    <row r="29" spans="1:23" customFormat="1" ht="15" customHeight="1" x14ac:dyDescent="0.3">
      <c r="A29" s="150"/>
      <c r="B29" s="150"/>
      <c r="C29" s="150" t="s">
        <v>114</v>
      </c>
      <c r="D29" s="151" t="s">
        <v>121</v>
      </c>
      <c r="E29" s="151"/>
      <c r="F29" s="152"/>
      <c r="G29" s="153"/>
      <c r="H29" s="154"/>
      <c r="I29" s="154"/>
      <c r="J29" s="155">
        <f>J21-J23</f>
        <v>322510.24790162034</v>
      </c>
      <c r="K29" s="155"/>
      <c r="L29" s="198"/>
      <c r="M29" s="150"/>
      <c r="N29" s="156">
        <f>N21-L23</f>
        <v>0.12059999999999998</v>
      </c>
      <c r="O29" s="150"/>
      <c r="P29" s="85"/>
      <c r="Q29" s="85"/>
      <c r="R29" s="85"/>
      <c r="S29" s="85"/>
      <c r="T29" s="85"/>
      <c r="U29" s="85"/>
      <c r="V29" s="85"/>
      <c r="W29" s="85"/>
    </row>
    <row r="30" spans="1:23" customFormat="1" ht="15" customHeight="1" x14ac:dyDescent="0.3">
      <c r="A30" s="125"/>
      <c r="B30" s="125"/>
      <c r="C30" s="125"/>
      <c r="D30" s="126"/>
      <c r="E30" s="126"/>
      <c r="F30" s="126"/>
      <c r="G30" s="127"/>
      <c r="H30" s="128"/>
      <c r="I30" s="128"/>
      <c r="J30" s="128"/>
      <c r="K30" s="128"/>
      <c r="L30" s="130"/>
      <c r="M30" s="125"/>
      <c r="N30" s="125"/>
      <c r="O30" s="125"/>
      <c r="P30" s="131"/>
      <c r="Q30" s="131"/>
      <c r="R30" s="131"/>
      <c r="S30" s="131"/>
      <c r="T30" s="131"/>
      <c r="U30" s="131"/>
      <c r="V30" s="131"/>
      <c r="W30" s="131"/>
    </row>
    <row r="31" spans="1:23" customFormat="1" ht="15" customHeight="1" x14ac:dyDescent="0.3">
      <c r="A31" s="138"/>
      <c r="B31" s="138"/>
      <c r="C31" s="138" t="s">
        <v>113</v>
      </c>
      <c r="D31" s="139" t="s">
        <v>100</v>
      </c>
      <c r="E31" s="139"/>
      <c r="F31" s="139"/>
      <c r="G31" s="127"/>
      <c r="H31" s="128"/>
      <c r="I31" s="128"/>
      <c r="J31" s="148">
        <f>H32</f>
        <v>1604.5285965254734</v>
      </c>
      <c r="K31" s="148"/>
      <c r="L31" s="130">
        <f>J31/$J$12</f>
        <v>5.9999999999999995E-4</v>
      </c>
      <c r="M31" s="138"/>
      <c r="N31" s="138"/>
      <c r="O31" s="138"/>
      <c r="P31" s="131"/>
      <c r="Q31" s="131"/>
      <c r="R31" s="131"/>
      <c r="S31" s="131"/>
      <c r="T31" s="131"/>
      <c r="U31" s="131"/>
      <c r="V31" s="131"/>
      <c r="W31" s="131"/>
    </row>
    <row r="32" spans="1:23" customFormat="1" ht="15" customHeight="1" x14ac:dyDescent="0.3">
      <c r="A32" s="125"/>
      <c r="B32" s="125"/>
      <c r="C32" s="125"/>
      <c r="D32" s="90" t="s">
        <v>122</v>
      </c>
      <c r="E32" s="90"/>
      <c r="F32" s="192"/>
      <c r="G32" s="193">
        <f>H32/J12</f>
        <v>5.9999999999999995E-4</v>
      </c>
      <c r="H32" s="146">
        <f>'Simples Revenda'!U35</f>
        <v>1604.5285965254734</v>
      </c>
      <c r="I32" s="128"/>
      <c r="J32" s="128"/>
      <c r="K32" s="128"/>
      <c r="L32" s="130"/>
      <c r="M32" s="125"/>
      <c r="N32" s="125"/>
      <c r="O32" s="125"/>
      <c r="P32" s="131"/>
      <c r="Q32" s="131"/>
      <c r="R32" s="131"/>
      <c r="S32" s="131"/>
      <c r="T32" s="131"/>
      <c r="U32" s="131"/>
      <c r="V32" s="131"/>
      <c r="W32" s="131"/>
    </row>
    <row r="33" spans="1:23" customFormat="1" ht="15" customHeight="1" x14ac:dyDescent="0.3">
      <c r="A33" s="125"/>
      <c r="B33" s="125"/>
      <c r="C33" s="125"/>
      <c r="D33" s="126"/>
      <c r="E33" s="126"/>
      <c r="F33" s="126"/>
      <c r="G33" s="127"/>
      <c r="H33" s="128"/>
      <c r="I33" s="128"/>
      <c r="J33" s="128"/>
      <c r="K33" s="128"/>
      <c r="L33" s="130"/>
      <c r="M33" s="125"/>
      <c r="N33" s="125"/>
      <c r="O33" s="125"/>
      <c r="P33" s="131"/>
      <c r="Q33" s="131"/>
      <c r="R33" s="131"/>
      <c r="S33" s="131"/>
      <c r="T33" s="131"/>
      <c r="U33" s="131"/>
      <c r="V33" s="131"/>
      <c r="W33" s="131"/>
    </row>
    <row r="34" spans="1:23" customFormat="1" ht="15" customHeight="1" x14ac:dyDescent="0.3">
      <c r="A34" s="125"/>
      <c r="B34" s="125"/>
      <c r="C34" s="125"/>
      <c r="D34" s="131"/>
      <c r="E34" s="131"/>
      <c r="F34" s="126"/>
      <c r="G34" s="130"/>
      <c r="H34" s="128"/>
      <c r="I34" s="128"/>
      <c r="J34" s="128"/>
      <c r="K34" s="128"/>
      <c r="L34" s="130"/>
      <c r="M34" s="125"/>
      <c r="N34" s="125"/>
      <c r="O34" s="125"/>
      <c r="P34" s="131"/>
      <c r="Q34" s="131"/>
      <c r="R34" s="131"/>
      <c r="S34" s="131"/>
      <c r="T34" s="131"/>
      <c r="U34" s="131"/>
      <c r="V34" s="131"/>
      <c r="W34" s="131"/>
    </row>
    <row r="35" spans="1:23" customFormat="1" ht="15" customHeight="1" x14ac:dyDescent="0.3">
      <c r="A35" s="125"/>
      <c r="B35" s="125"/>
      <c r="C35" s="125"/>
      <c r="D35" s="126"/>
      <c r="E35" s="126"/>
      <c r="F35" s="126"/>
      <c r="G35" s="127"/>
      <c r="H35" s="128"/>
      <c r="I35" s="128"/>
      <c r="J35" s="128"/>
      <c r="K35" s="128"/>
      <c r="L35" s="130"/>
      <c r="M35" s="125"/>
      <c r="N35" s="125"/>
      <c r="O35" s="125"/>
      <c r="P35" s="131"/>
      <c r="Q35" s="131"/>
      <c r="R35" s="131"/>
      <c r="S35" s="131"/>
      <c r="T35" s="131"/>
      <c r="U35" s="131"/>
      <c r="V35" s="131"/>
      <c r="W35" s="131"/>
    </row>
    <row r="36" spans="1:23" customFormat="1" ht="15" customHeight="1" x14ac:dyDescent="0.3">
      <c r="A36" s="125"/>
      <c r="B36" s="125"/>
      <c r="C36" s="125"/>
      <c r="D36" s="126"/>
      <c r="E36" s="126"/>
      <c r="F36" s="126"/>
      <c r="G36" s="195"/>
      <c r="H36" s="128"/>
      <c r="I36" s="128"/>
      <c r="J36" s="128"/>
      <c r="K36" s="128"/>
      <c r="L36" s="130"/>
      <c r="M36" s="125"/>
      <c r="N36" s="125"/>
      <c r="O36" s="125"/>
      <c r="P36" s="131"/>
      <c r="Q36" s="131"/>
      <c r="R36" s="131"/>
      <c r="S36" s="131"/>
      <c r="T36" s="131"/>
      <c r="U36" s="131"/>
      <c r="V36" s="131"/>
      <c r="W36" s="131"/>
    </row>
    <row r="37" spans="1:23" s="165" customFormat="1" ht="34.799999999999997" customHeight="1" x14ac:dyDescent="0.3">
      <c r="A37" s="159"/>
      <c r="B37" s="159"/>
      <c r="C37" s="159"/>
      <c r="D37" s="160"/>
      <c r="E37" s="160"/>
      <c r="F37" s="161"/>
      <c r="G37" s="194"/>
      <c r="H37" s="196" t="s">
        <v>123</v>
      </c>
      <c r="I37" s="196"/>
      <c r="J37" s="162">
        <f>J29-J31</f>
        <v>320905.71930509486</v>
      </c>
      <c r="K37" s="160"/>
      <c r="L37" s="163"/>
      <c r="M37" s="159"/>
      <c r="N37" s="163">
        <f>N29-L31</f>
        <v>0.11999999999999998</v>
      </c>
      <c r="O37" s="164"/>
    </row>
    <row r="38" spans="1:23" customFormat="1" ht="15" customHeight="1" x14ac:dyDescent="0.3">
      <c r="A38" s="126"/>
      <c r="B38" s="126"/>
      <c r="C38" s="126"/>
      <c r="D38" s="126"/>
      <c r="E38" s="126"/>
      <c r="F38" s="126"/>
      <c r="G38" s="166"/>
      <c r="H38" s="126"/>
      <c r="I38" s="126"/>
      <c r="J38" s="126"/>
      <c r="K38" s="126"/>
      <c r="L38" s="167"/>
      <c r="M38" s="126"/>
      <c r="N38" s="126"/>
      <c r="O38" s="131"/>
      <c r="P38" s="131"/>
      <c r="Q38" s="131"/>
      <c r="R38" s="131"/>
      <c r="S38" s="131"/>
      <c r="T38" s="131"/>
      <c r="U38" s="131"/>
      <c r="V38" s="131"/>
      <c r="W38" s="131"/>
    </row>
    <row r="39" spans="1:23" customFormat="1" ht="15" customHeight="1" x14ac:dyDescent="0.3">
      <c r="A39" s="126"/>
      <c r="B39" s="126"/>
      <c r="C39" s="126"/>
      <c r="D39" s="126"/>
      <c r="E39" s="126"/>
      <c r="F39" s="126"/>
      <c r="G39" s="166"/>
      <c r="H39" s="126"/>
      <c r="I39" s="126"/>
      <c r="J39" s="126"/>
      <c r="K39" s="126"/>
      <c r="L39" s="167"/>
      <c r="M39" s="126"/>
      <c r="N39" s="126"/>
      <c r="O39" s="131"/>
      <c r="P39" s="131"/>
      <c r="Q39" s="131"/>
      <c r="R39" s="131"/>
      <c r="S39" s="131"/>
      <c r="T39" s="131"/>
      <c r="U39" s="131"/>
      <c r="V39" s="131"/>
      <c r="W39" s="131"/>
    </row>
    <row r="40" spans="1:23" ht="15.6" x14ac:dyDescent="0.3">
      <c r="C40" s="138"/>
      <c r="D40" s="139"/>
      <c r="E40" s="139"/>
      <c r="F40" s="128"/>
      <c r="G40" s="128"/>
      <c r="K40" s="148"/>
    </row>
    <row r="41" spans="1:23" x14ac:dyDescent="0.3">
      <c r="C41" s="131"/>
      <c r="D41" s="157"/>
      <c r="E41" s="157"/>
      <c r="G41" s="130"/>
      <c r="H41" s="158"/>
      <c r="I41" s="158"/>
    </row>
    <row r="42" spans="1:23" x14ac:dyDescent="0.3">
      <c r="C42" s="131"/>
      <c r="D42" s="157"/>
      <c r="E42" s="157"/>
      <c r="G42" s="130"/>
      <c r="H42" s="158"/>
      <c r="I42" s="158"/>
    </row>
    <row r="43" spans="1:23" x14ac:dyDescent="0.3">
      <c r="C43" s="131"/>
      <c r="D43" s="157"/>
      <c r="E43" s="157"/>
      <c r="G43" s="130"/>
      <c r="H43" s="158"/>
      <c r="I43" s="158"/>
    </row>
    <row r="44" spans="1:23" x14ac:dyDescent="0.3">
      <c r="D44" s="131"/>
      <c r="E44" s="131"/>
    </row>
  </sheetData>
  <mergeCells count="2">
    <mergeCell ref="C3:L3"/>
    <mergeCell ref="C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Simples Revenda</vt:lpstr>
      <vt:lpstr>Categorias Simples</vt:lpstr>
      <vt:lpstr>Simples DRE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2026-03-09T18:28:31Z</dcterms:modified>
</cp:coreProperties>
</file>