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Presumido RET\"/>
    </mc:Choice>
  </mc:AlternateContent>
  <xr:revisionPtr revIDLastSave="0" documentId="13_ncr:1_{114F8652-72C4-4991-89DB-6842AF9733E7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Presumido Industrialização" sheetId="1" r:id="rId1"/>
    <sheet name="Categorias" sheetId="3" r:id="rId2"/>
    <sheet name="DRE Financeir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3" i="4" l="1"/>
  <c r="G14" i="4"/>
  <c r="H14" i="4"/>
  <c r="H24" i="4"/>
  <c r="H23" i="4"/>
  <c r="H18" i="4"/>
  <c r="H17" i="4"/>
  <c r="H9" i="4"/>
  <c r="J8" i="4" s="1"/>
  <c r="J6" i="4"/>
  <c r="J11" i="4" s="1"/>
  <c r="J20" i="4" s="1"/>
  <c r="N19" i="1" l="1"/>
  <c r="F15" i="1" l="1"/>
  <c r="F14" i="1"/>
  <c r="U19" i="1" l="1"/>
  <c r="AB19" i="1"/>
  <c r="L82" i="1"/>
  <c r="L74" i="1"/>
  <c r="O60" i="1"/>
  <c r="B59" i="1"/>
  <c r="O56" i="1"/>
  <c r="B55" i="1"/>
  <c r="O52" i="1"/>
  <c r="B51" i="1"/>
  <c r="O48" i="1"/>
  <c r="O47" i="1"/>
  <c r="O46" i="1"/>
  <c r="O45" i="1"/>
  <c r="B45" i="1"/>
  <c r="F28" i="1"/>
  <c r="F31" i="1" s="1"/>
  <c r="U40" i="1" s="1"/>
  <c r="F12" i="1"/>
  <c r="Q42" i="1" l="1"/>
  <c r="F19" i="1"/>
  <c r="U39" i="1" s="1"/>
  <c r="U42" i="1" l="1"/>
  <c r="U65" i="1" s="1"/>
  <c r="L71" i="1" l="1"/>
  <c r="L79" i="1"/>
  <c r="O40" i="1"/>
  <c r="E40" i="1" s="1"/>
  <c r="O39" i="1"/>
  <c r="U45" i="1"/>
  <c r="U47" i="1"/>
  <c r="H25" i="4" s="1"/>
  <c r="U46" i="1"/>
  <c r="U52" i="1"/>
  <c r="U48" i="1"/>
  <c r="H31" i="4" s="1"/>
  <c r="U60" i="1"/>
  <c r="U56" i="1"/>
  <c r="H26" i="4" s="1"/>
  <c r="J22" i="4" l="1"/>
  <c r="J30" i="4"/>
  <c r="U88" i="1"/>
  <c r="O65" i="1"/>
  <c r="E39" i="1"/>
  <c r="B39" i="1" s="1"/>
  <c r="L73" i="1" l="1"/>
  <c r="L75" i="1" s="1"/>
  <c r="L81" i="1"/>
  <c r="L83" i="1" s="1"/>
  <c r="J28" i="4" l="1"/>
  <c r="J33" i="4" s="1"/>
  <c r="J35" i="4" s="1"/>
  <c r="N35" i="4" s="1"/>
  <c r="G25" i="4"/>
  <c r="G24" i="4"/>
  <c r="L30" i="4"/>
  <c r="G31" i="4"/>
  <c r="G17" i="4"/>
  <c r="G23" i="4"/>
  <c r="G18" i="4"/>
  <c r="L22" i="4"/>
  <c r="L13" i="4"/>
  <c r="N20" i="4" s="1"/>
  <c r="G26" i="4"/>
  <c r="N28" i="4" l="1"/>
  <c r="N33" i="4" s="1"/>
</calcChain>
</file>

<file path=xl/sharedStrings.xml><?xml version="1.0" encoding="utf-8"?>
<sst xmlns="http://schemas.openxmlformats.org/spreadsheetml/2006/main" count="228" uniqueCount="167">
  <si>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</si>
  <si>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</si>
  <si>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</si>
  <si>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</si>
  <si>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</si>
  <si>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</si>
  <si>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</si>
  <si>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</si>
  <si>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</si>
  <si>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CNAE defini se o IPI será crédito ou custo</t>
  </si>
  <si>
    <t>%</t>
  </si>
  <si>
    <t>x</t>
  </si>
  <si>
    <t>Valor total custo MP/Fornecedores</t>
  </si>
  <si>
    <t>Custo líquido do produto</t>
  </si>
  <si>
    <t>Mão de Obra Produtiva Propria | Terceirizada</t>
  </si>
  <si>
    <t>Mão de Obra Direta (Produtiva)</t>
  </si>
  <si>
    <t>Valor da MO (Bruta)</t>
  </si>
  <si>
    <t>Valor total da mão de obra</t>
  </si>
  <si>
    <t>Mão de Obra Própria</t>
  </si>
  <si>
    <t>Mão de Obra Terceirizada</t>
  </si>
  <si>
    <t>Valor total custo Mâo Obra</t>
  </si>
  <si>
    <t>Valores oriundos do sistema Precifica Certo</t>
  </si>
  <si>
    <t>Previsão Mensal</t>
  </si>
  <si>
    <t>Custo Produtos</t>
  </si>
  <si>
    <t>Custo MO Direta</t>
  </si>
  <si>
    <t>Coeficiente</t>
  </si>
  <si>
    <t>Total CMV</t>
  </si>
  <si>
    <t>Desp. MO Indireta</t>
  </si>
  <si>
    <t>MO Indireta</t>
  </si>
  <si>
    <t>Desp. Fixa</t>
  </si>
  <si>
    <t>Fixa</t>
  </si>
  <si>
    <t>Desp. Variável</t>
  </si>
  <si>
    <t>Variavel</t>
  </si>
  <si>
    <t>Desp. Financeira</t>
  </si>
  <si>
    <t>Financeira</t>
  </si>
  <si>
    <t>Regime tributário (Verificar % especial)</t>
  </si>
  <si>
    <t>-----&gt;</t>
  </si>
  <si>
    <t>Comissões</t>
  </si>
  <si>
    <t>Comissão</t>
  </si>
  <si>
    <t>Margem de Lucro</t>
  </si>
  <si>
    <t>Lucro Liquido Desejado</t>
  </si>
  <si>
    <t>Acionador                                 "x"</t>
  </si>
  <si>
    <t>% Fator de redução da alíquota</t>
  </si>
  <si>
    <t>Base de Débito IBS respeitando a relação complementar de tributos</t>
  </si>
  <si>
    <t>Alíquota IBS</t>
  </si>
  <si>
    <t>Alíquota Reduzida</t>
  </si>
  <si>
    <t>Déb sob base complem da receita</t>
  </si>
  <si>
    <t>(+)</t>
  </si>
  <si>
    <t>IBS a recolher e destacar na nota</t>
  </si>
  <si>
    <t>Redutor será ativado somente em 2033 no Iva Dual pleno</t>
  </si>
  <si>
    <t>Base de Débito CBS respeitando a relação complementar de tributos</t>
  </si>
  <si>
    <t>Alíquota CBS</t>
  </si>
  <si>
    <t>CBS a  recolher e destacar na nota</t>
  </si>
  <si>
    <t>ICMS-ST (Quando não gera crédito)</t>
  </si>
  <si>
    <t>NCM/CNAE defini se será crédito ou custo</t>
  </si>
  <si>
    <t>Total "Valor operação interna + IS"</t>
  </si>
  <si>
    <t>Valor da operação interna</t>
  </si>
  <si>
    <t>Valor Total de Venda                                  (Faturamento Bruto)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</si>
  <si>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</si>
  <si>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</si>
  <si>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</si>
  <si>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</si>
  <si>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</si>
  <si>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</si>
  <si>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CBS</t>
  </si>
  <si>
    <t>IBS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</si>
  <si>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</si>
  <si>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</si>
  <si>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</si>
  <si>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</si>
  <si>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</si>
  <si>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</si>
  <si>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</si>
  <si>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</si>
  <si>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</si>
  <si>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</si>
  <si>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</si>
  <si>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</si>
  <si>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</si>
  <si>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</si>
  <si>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</si>
  <si>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</si>
  <si>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</si>
  <si>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</si>
  <si>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</si>
  <si>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</si>
  <si>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</si>
  <si>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</si>
  <si>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</si>
  <si>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</si>
  <si>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</si>
  <si>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</si>
  <si>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</si>
  <si>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</si>
  <si>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</si>
  <si>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</si>
  <si>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</si>
  <si>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</si>
  <si>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</si>
  <si>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</si>
  <si>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</si>
  <si>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</si>
  <si>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</si>
  <si>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</si>
  <si>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</si>
  <si>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</si>
  <si>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</si>
  <si>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</si>
  <si>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</si>
  <si>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</si>
  <si>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</si>
  <si>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</si>
  <si>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</si>
  <si>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</si>
  <si>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</si>
  <si>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</si>
  <si>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</si>
  <si>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</si>
  <si>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</si>
  <si>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</si>
  <si>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</si>
  <si>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</si>
  <si>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</si>
  <si>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</si>
  <si>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</si>
  <si>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</si>
  <si>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</si>
  <si>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</si>
  <si>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</si>
  <si>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</si>
  <si>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Impostos sobre faturamento</t>
  </si>
  <si>
    <t>COMISSÕES DE VENDA</t>
  </si>
  <si>
    <t>Lucro</t>
  </si>
  <si>
    <t>INVESTIMENTOS (máquinas, equipam, expansão e melhorias)</t>
  </si>
  <si>
    <t>DISTRIBUIÇÃO DE LUCROS</t>
  </si>
  <si>
    <t>Precificação por Margem de Contribuição Presumido</t>
  </si>
  <si>
    <t>Valores com ICMS e PIS/COFINS por dentro</t>
  </si>
  <si>
    <t>DRE - Financeiro</t>
  </si>
  <si>
    <t>Demonstrativo do Resultado do Exercício</t>
  </si>
  <si>
    <t>Receita Bruta</t>
  </si>
  <si>
    <t>Valores oriundos da base Anual</t>
  </si>
  <si>
    <t>(-)</t>
  </si>
  <si>
    <t>Deduções Tributárias Sobre Receita</t>
  </si>
  <si>
    <t>=</t>
  </si>
  <si>
    <t>Receita líquida de venda interna</t>
  </si>
  <si>
    <t>Custos Líquido dos Produtos (Base operacional - CMV)</t>
  </si>
  <si>
    <t>Custo Líquido dos Produtos</t>
  </si>
  <si>
    <t>Lucro Bruto</t>
  </si>
  <si>
    <t>Despesas Operacionais</t>
  </si>
  <si>
    <t>Despesa MO Indireta</t>
  </si>
  <si>
    <t>Despesa Fixa</t>
  </si>
  <si>
    <t>Despesa Variavel</t>
  </si>
  <si>
    <t>Lucro Operacional (EBITA/EBIT)</t>
  </si>
  <si>
    <t>Despesa Financeira</t>
  </si>
  <si>
    <t>Resultado Financeiro</t>
  </si>
  <si>
    <t>Lucro Líquido</t>
  </si>
  <si>
    <t>INSS PATRONAL (Setor Produtivo)</t>
  </si>
  <si>
    <t>RAT / FAP</t>
  </si>
  <si>
    <t>INSS PATRONAL (Pró-Labo/ Admin/ Comer)</t>
  </si>
  <si>
    <t>RET</t>
  </si>
  <si>
    <t>Custo de Obra / Materiais</t>
  </si>
  <si>
    <t>Folha de Obra / Empreiteiros</t>
  </si>
  <si>
    <t>ICMS-ST /DIFAL (Quando não gera crédito)</t>
  </si>
  <si>
    <t>ICMS-ST / DIFAL (Quando não gera crédito)</t>
  </si>
  <si>
    <t>Valor total da operação interna                       do preço de venda                                                             (Base Líquida da Operação)</t>
  </si>
  <si>
    <t xml:space="preserve">Deduções Tributárias Faturamento </t>
  </si>
  <si>
    <t>RET - Impostos sobre 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</si>
</sst>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0.000%"/>
    <numFmt numFmtId="167" formatCode="_-&quot;R$&quot;\ * #,##0.00_-;\-&quot;R$&quot;\ * #,##0.00_-;_-&quot;R$&quot;\ * &quot;-&quot;????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0">
    <xf numFmtId="0" fontId="0" fillId="0" borderId="0" xfId="0"/>
    <xf numFmtId="0" fontId="0" fillId="2" borderId="0" xfId="0" applyFill="1"/>
    <xf numFmtId="0" fontId="0" fillId="3" borderId="2" xfId="0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0" fillId="3" borderId="3" xfId="0" applyFill="1" applyBorder="1"/>
    <xf numFmtId="164" fontId="8" fillId="3" borderId="3" xfId="2" applyNumberFormat="1" applyFont="1" applyFill="1" applyBorder="1" applyAlignment="1">
      <alignment horizontal="center"/>
    </xf>
    <xf numFmtId="44" fontId="3" fillId="3" borderId="3" xfId="1" applyFont="1" applyFill="1" applyBorder="1"/>
    <xf numFmtId="44" fontId="5" fillId="3" borderId="3" xfId="1" applyFont="1" applyFill="1" applyBorder="1"/>
    <xf numFmtId="165" fontId="5" fillId="3" borderId="3" xfId="2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/>
    <xf numFmtId="44" fontId="3" fillId="3" borderId="0" xfId="1" applyFont="1" applyFill="1"/>
    <xf numFmtId="44" fontId="5" fillId="3" borderId="0" xfId="1" applyFont="1" applyFill="1"/>
    <xf numFmtId="165" fontId="5" fillId="3" borderId="0" xfId="2" applyNumberFormat="1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0" fillId="3" borderId="6" xfId="0" applyFill="1" applyBorder="1"/>
    <xf numFmtId="164" fontId="8" fillId="3" borderId="0" xfId="2" applyNumberFormat="1" applyFont="1" applyFill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44" fontId="13" fillId="3" borderId="0" xfId="1" applyFont="1" applyFill="1" applyAlignment="1">
      <alignment vertical="center"/>
    </xf>
    <xf numFmtId="44" fontId="12" fillId="3" borderId="11" xfId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4" fontId="15" fillId="3" borderId="12" xfId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44" fontId="16" fillId="3" borderId="0" xfId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44" fontId="17" fillId="3" borderId="0" xfId="1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4" fillId="3" borderId="0" xfId="0" applyFont="1" applyFill="1"/>
    <xf numFmtId="0" fontId="19" fillId="3" borderId="5" xfId="0" applyFont="1" applyFill="1" applyBorder="1"/>
    <xf numFmtId="0" fontId="19" fillId="3" borderId="0" xfId="0" applyFont="1" applyFill="1"/>
    <xf numFmtId="0" fontId="19" fillId="3" borderId="6" xfId="0" applyFont="1" applyFill="1" applyBorder="1"/>
    <xf numFmtId="0" fontId="20" fillId="4" borderId="8" xfId="0" applyFont="1" applyFill="1" applyBorder="1"/>
    <xf numFmtId="0" fontId="20" fillId="4" borderId="9" xfId="0" applyFont="1" applyFill="1" applyBorder="1"/>
    <xf numFmtId="0" fontId="11" fillId="3" borderId="0" xfId="0" applyFont="1" applyFill="1"/>
    <xf numFmtId="0" fontId="20" fillId="4" borderId="10" xfId="0" applyFont="1" applyFill="1" applyBorder="1"/>
    <xf numFmtId="44" fontId="21" fillId="4" borderId="10" xfId="1" applyFont="1" applyFill="1" applyBorder="1"/>
    <xf numFmtId="0" fontId="19" fillId="4" borderId="9" xfId="0" applyFont="1" applyFill="1" applyBorder="1"/>
    <xf numFmtId="44" fontId="19" fillId="4" borderId="9" xfId="1" applyFont="1" applyFill="1" applyBorder="1"/>
    <xf numFmtId="0" fontId="19" fillId="3" borderId="22" xfId="0" applyFont="1" applyFill="1" applyBorder="1"/>
    <xf numFmtId="0" fontId="11" fillId="3" borderId="16" xfId="0" applyFont="1" applyFill="1" applyBorder="1"/>
    <xf numFmtId="0" fontId="19" fillId="3" borderId="16" xfId="0" applyFont="1" applyFill="1" applyBorder="1"/>
    <xf numFmtId="44" fontId="19" fillId="3" borderId="16" xfId="1" applyFont="1" applyFill="1" applyBorder="1"/>
    <xf numFmtId="0" fontId="5" fillId="3" borderId="16" xfId="0" applyFont="1" applyFill="1" applyBorder="1" applyAlignment="1">
      <alignment horizontal="center" vertical="top"/>
    </xf>
    <xf numFmtId="0" fontId="0" fillId="3" borderId="16" xfId="0" applyFill="1" applyBorder="1"/>
    <xf numFmtId="165" fontId="19" fillId="3" borderId="16" xfId="2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right"/>
    </xf>
    <xf numFmtId="0" fontId="19" fillId="3" borderId="23" xfId="0" applyFont="1" applyFill="1" applyBorder="1"/>
    <xf numFmtId="0" fontId="19" fillId="5" borderId="2" xfId="0" applyFont="1" applyFill="1" applyBorder="1"/>
    <xf numFmtId="0" fontId="11" fillId="5" borderId="3" xfId="0" applyFont="1" applyFill="1" applyBorder="1"/>
    <xf numFmtId="0" fontId="19" fillId="5" borderId="3" xfId="0" applyFont="1" applyFill="1" applyBorder="1"/>
    <xf numFmtId="44" fontId="19" fillId="5" borderId="3" xfId="1" applyFont="1" applyFill="1" applyBorder="1"/>
    <xf numFmtId="164" fontId="19" fillId="5" borderId="3" xfId="2" applyNumberFormat="1" applyFont="1" applyFill="1" applyBorder="1" applyAlignment="1">
      <alignment horizontal="center"/>
    </xf>
    <xf numFmtId="0" fontId="19" fillId="5" borderId="4" xfId="0" applyFont="1" applyFill="1" applyBorder="1"/>
    <xf numFmtId="0" fontId="19" fillId="5" borderId="5" xfId="0" applyFont="1" applyFill="1" applyBorder="1"/>
    <xf numFmtId="0" fontId="11" fillId="5" borderId="0" xfId="0" applyFont="1" applyFill="1"/>
    <xf numFmtId="0" fontId="19" fillId="5" borderId="0" xfId="0" applyFont="1" applyFill="1"/>
    <xf numFmtId="44" fontId="19" fillId="5" borderId="0" xfId="1" applyFont="1" applyFill="1"/>
    <xf numFmtId="0" fontId="19" fillId="5" borderId="6" xfId="0" applyFont="1" applyFill="1" applyBorder="1"/>
    <xf numFmtId="164" fontId="19" fillId="5" borderId="0" xfId="2" applyNumberFormat="1" applyFont="1" applyFill="1" applyAlignment="1">
      <alignment horizontal="center"/>
    </xf>
    <xf numFmtId="0" fontId="7" fillId="5" borderId="0" xfId="0" applyFont="1" applyFill="1"/>
    <xf numFmtId="9" fontId="22" fillId="5" borderId="0" xfId="2" applyFont="1" applyFill="1" applyAlignment="1">
      <alignment vertical="center" wrapText="1"/>
    </xf>
    <xf numFmtId="0" fontId="17" fillId="5" borderId="11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44" fontId="13" fillId="5" borderId="0" xfId="1" applyFont="1" applyFill="1" applyAlignment="1">
      <alignment horizontal="center" vertical="center"/>
    </xf>
    <xf numFmtId="44" fontId="6" fillId="6" borderId="11" xfId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44" fontId="17" fillId="5" borderId="0" xfId="1" applyFont="1" applyFill="1" applyAlignment="1">
      <alignment horizontal="center" vertical="center"/>
    </xf>
    <xf numFmtId="44" fontId="13" fillId="5" borderId="0" xfId="1" applyFont="1" applyFill="1" applyAlignment="1">
      <alignment vertical="center"/>
    </xf>
    <xf numFmtId="44" fontId="17" fillId="5" borderId="0" xfId="1" applyFont="1" applyFill="1" applyAlignment="1">
      <alignment vertical="center"/>
    </xf>
    <xf numFmtId="0" fontId="0" fillId="5" borderId="5" xfId="0" applyFill="1" applyBorder="1"/>
    <xf numFmtId="0" fontId="0" fillId="5" borderId="6" xfId="0" applyFill="1" applyBorder="1"/>
    <xf numFmtId="44" fontId="19" fillId="5" borderId="0" xfId="0" applyNumberFormat="1" applyFont="1" applyFill="1"/>
    <xf numFmtId="0" fontId="0" fillId="5" borderId="22" xfId="0" applyFill="1" applyBorder="1"/>
    <xf numFmtId="0" fontId="5" fillId="5" borderId="16" xfId="0" applyFont="1" applyFill="1" applyBorder="1"/>
    <xf numFmtId="0" fontId="5" fillId="5" borderId="16" xfId="0" applyFont="1" applyFill="1" applyBorder="1" applyAlignment="1">
      <alignment horizontal="center"/>
    </xf>
    <xf numFmtId="0" fontId="0" fillId="5" borderId="16" xfId="0" applyFill="1" applyBorder="1"/>
    <xf numFmtId="164" fontId="5" fillId="5" borderId="16" xfId="2" applyNumberFormat="1" applyFont="1" applyFill="1" applyBorder="1" applyAlignment="1">
      <alignment horizontal="center"/>
    </xf>
    <xf numFmtId="44" fontId="5" fillId="5" borderId="16" xfId="1" applyFont="1" applyFill="1" applyBorder="1"/>
    <xf numFmtId="44" fontId="0" fillId="5" borderId="16" xfId="0" applyNumberFormat="1" applyFill="1" applyBorder="1"/>
    <xf numFmtId="44" fontId="0" fillId="5" borderId="23" xfId="1" applyFont="1" applyFill="1" applyBorder="1"/>
    <xf numFmtId="0" fontId="5" fillId="7" borderId="33" xfId="0" applyFont="1" applyFill="1" applyBorder="1" applyAlignment="1">
      <alignment horizontal="left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0" xfId="0" applyFont="1" applyFill="1"/>
    <xf numFmtId="10" fontId="5" fillId="7" borderId="0" xfId="2" applyNumberFormat="1" applyFont="1" applyFill="1" applyAlignment="1">
      <alignment horizontal="center" vertical="center"/>
    </xf>
    <xf numFmtId="164" fontId="1" fillId="3" borderId="0" xfId="2" applyNumberFormat="1" applyFill="1" applyAlignment="1">
      <alignment horizontal="left"/>
    </xf>
    <xf numFmtId="0" fontId="1" fillId="3" borderId="0" xfId="0" applyFont="1" applyFill="1"/>
    <xf numFmtId="44" fontId="1" fillId="3" borderId="0" xfId="1" applyFill="1" applyProtection="1">
      <protection locked="0"/>
    </xf>
    <xf numFmtId="44" fontId="5" fillId="7" borderId="0" xfId="1" applyFont="1" applyFill="1"/>
    <xf numFmtId="44" fontId="5" fillId="3" borderId="0" xfId="1" applyFont="1" applyFill="1" applyAlignment="1">
      <alignment horizontal="right"/>
    </xf>
    <xf numFmtId="0" fontId="5" fillId="7" borderId="16" xfId="0" applyFont="1" applyFill="1" applyBorder="1"/>
    <xf numFmtId="0" fontId="5" fillId="7" borderId="16" xfId="0" applyFont="1" applyFill="1" applyBorder="1" applyAlignment="1">
      <alignment horizontal="center"/>
    </xf>
    <xf numFmtId="0" fontId="5" fillId="7" borderId="13" xfId="0" applyFont="1" applyFill="1" applyBorder="1"/>
    <xf numFmtId="0" fontId="5" fillId="7" borderId="36" xfId="0" applyFont="1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center"/>
    </xf>
    <xf numFmtId="44" fontId="5" fillId="7" borderId="0" xfId="0" applyNumberFormat="1" applyFont="1" applyFill="1"/>
    <xf numFmtId="10" fontId="5" fillId="6" borderId="0" xfId="2" applyNumberFormat="1" applyFont="1" applyFill="1" applyAlignment="1">
      <alignment horizontal="center" vertical="center"/>
    </xf>
    <xf numFmtId="10" fontId="5" fillId="7" borderId="36" xfId="0" applyNumberFormat="1" applyFont="1" applyFill="1" applyBorder="1" applyAlignment="1">
      <alignment horizontal="center"/>
    </xf>
    <xf numFmtId="165" fontId="5" fillId="7" borderId="16" xfId="0" applyNumberFormat="1" applyFont="1" applyFill="1" applyBorder="1" applyAlignment="1">
      <alignment horizontal="center"/>
    </xf>
    <xf numFmtId="165" fontId="5" fillId="7" borderId="36" xfId="0" applyNumberFormat="1" applyFont="1" applyFill="1" applyBorder="1" applyAlignment="1">
      <alignment horizontal="center"/>
    </xf>
    <xf numFmtId="0" fontId="5" fillId="7" borderId="40" xfId="0" applyFont="1" applyFill="1" applyBorder="1" applyAlignment="1">
      <alignment horizontal="center"/>
    </xf>
    <xf numFmtId="0" fontId="6" fillId="7" borderId="0" xfId="0" applyFont="1" applyFill="1"/>
    <xf numFmtId="10" fontId="6" fillId="6" borderId="36" xfId="2" applyNumberFormat="1" applyFont="1" applyFill="1" applyBorder="1" applyAlignment="1" applyProtection="1">
      <alignment horizontal="center" vertical="center"/>
      <protection locked="0"/>
    </xf>
    <xf numFmtId="165" fontId="5" fillId="7" borderId="41" xfId="0" applyNumberFormat="1" applyFont="1" applyFill="1" applyBorder="1" applyAlignment="1">
      <alignment horizontal="center"/>
    </xf>
    <xf numFmtId="44" fontId="6" fillId="7" borderId="0" xfId="0" applyNumberFormat="1" applyFont="1" applyFill="1"/>
    <xf numFmtId="10" fontId="6" fillId="6" borderId="0" xfId="2" applyNumberFormat="1" applyFont="1" applyFill="1" applyAlignment="1" applyProtection="1">
      <alignment horizontal="center" vertical="center"/>
      <protection locked="0"/>
    </xf>
    <xf numFmtId="0" fontId="0" fillId="10" borderId="0" xfId="0" applyFill="1"/>
    <xf numFmtId="0" fontId="19" fillId="11" borderId="0" xfId="0" applyFont="1" applyFill="1" applyAlignment="1">
      <alignment vertical="center"/>
    </xf>
    <xf numFmtId="0" fontId="19" fillId="11" borderId="0" xfId="0" applyFont="1" applyFill="1" applyAlignment="1">
      <alignment horizontal="center" vertical="center"/>
    </xf>
    <xf numFmtId="44" fontId="19" fillId="11" borderId="0" xfId="0" applyNumberFormat="1" applyFont="1" applyFill="1" applyAlignment="1">
      <alignment vertical="center"/>
    </xf>
    <xf numFmtId="49" fontId="19" fillId="11" borderId="0" xfId="0" applyNumberFormat="1" applyFont="1" applyFill="1" applyAlignment="1">
      <alignment horizontal="center" vertical="center"/>
    </xf>
    <xf numFmtId="165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44" fontId="7" fillId="11" borderId="0" xfId="0" applyNumberFormat="1" applyFont="1" applyFill="1" applyAlignment="1">
      <alignment vertical="center"/>
    </xf>
    <xf numFmtId="44" fontId="19" fillId="11" borderId="0" xfId="1" applyFont="1" applyFill="1" applyAlignment="1">
      <alignment vertical="center"/>
    </xf>
    <xf numFmtId="44" fontId="19" fillId="11" borderId="0" xfId="1" applyFont="1" applyFill="1" applyAlignment="1">
      <alignment horizontal="center" vertical="center"/>
    </xf>
    <xf numFmtId="165" fontId="19" fillId="11" borderId="0" xfId="2" applyNumberFormat="1" applyFont="1" applyFill="1" applyAlignment="1">
      <alignment vertical="center"/>
    </xf>
    <xf numFmtId="44" fontId="17" fillId="3" borderId="11" xfId="1" applyFont="1" applyFill="1" applyBorder="1" applyAlignment="1">
      <alignment horizontal="center" vertical="center"/>
    </xf>
    <xf numFmtId="44" fontId="0" fillId="0" borderId="0" xfId="0" applyNumberFormat="1"/>
    <xf numFmtId="0" fontId="0" fillId="8" borderId="0" xfId="0" applyFill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vertical="center"/>
    </xf>
    <xf numFmtId="0" fontId="0" fillId="11" borderId="0" xfId="0" applyFill="1"/>
    <xf numFmtId="0" fontId="5" fillId="12" borderId="0" xfId="0" applyFont="1" applyFill="1"/>
    <xf numFmtId="0" fontId="0" fillId="12" borderId="0" xfId="0" applyFill="1"/>
    <xf numFmtId="0" fontId="14" fillId="13" borderId="0" xfId="0" applyFont="1" applyFill="1"/>
    <xf numFmtId="0" fontId="5" fillId="14" borderId="54" xfId="0" applyFont="1" applyFill="1" applyBorder="1"/>
    <xf numFmtId="0" fontId="5" fillId="14" borderId="29" xfId="0" applyFont="1" applyFill="1" applyBorder="1"/>
    <xf numFmtId="0" fontId="14" fillId="15" borderId="29" xfId="0" applyFont="1" applyFill="1" applyBorder="1"/>
    <xf numFmtId="0" fontId="14" fillId="15" borderId="47" xfId="0" applyFont="1" applyFill="1" applyBorder="1"/>
    <xf numFmtId="0" fontId="5" fillId="16" borderId="29" xfId="0" applyFont="1" applyFill="1" applyBorder="1"/>
    <xf numFmtId="0" fontId="14" fillId="18" borderId="46" xfId="0" applyFont="1" applyFill="1" applyBorder="1"/>
    <xf numFmtId="0" fontId="14" fillId="18" borderId="29" xfId="0" applyFont="1" applyFill="1" applyBorder="1"/>
    <xf numFmtId="0" fontId="14" fillId="17" borderId="29" xfId="0" applyFont="1" applyFill="1" applyBorder="1"/>
    <xf numFmtId="0" fontId="14" fillId="17" borderId="47" xfId="0" applyFont="1" applyFill="1" applyBorder="1"/>
    <xf numFmtId="0" fontId="14" fillId="18" borderId="47" xfId="0" applyFont="1" applyFill="1" applyBorder="1"/>
    <xf numFmtId="0" fontId="0" fillId="19" borderId="46" xfId="0" applyFill="1" applyBorder="1"/>
    <xf numFmtId="0" fontId="0" fillId="19" borderId="47" xfId="0" applyFill="1" applyBorder="1"/>
    <xf numFmtId="0" fontId="0" fillId="19" borderId="43" xfId="0" applyFill="1" applyBorder="1"/>
    <xf numFmtId="0" fontId="5" fillId="8" borderId="29" xfId="0" applyFont="1" applyFill="1" applyBorder="1"/>
    <xf numFmtId="0" fontId="4" fillId="20" borderId="0" xfId="0" applyFont="1" applyFill="1"/>
    <xf numFmtId="0" fontId="14" fillId="21" borderId="29" xfId="0" applyFont="1" applyFill="1" applyBorder="1"/>
    <xf numFmtId="0" fontId="14" fillId="21" borderId="29" xfId="0" applyFont="1" applyFill="1" applyBorder="1" applyAlignment="1">
      <alignment vertical="center"/>
    </xf>
    <xf numFmtId="0" fontId="2" fillId="21" borderId="1" xfId="0" applyFont="1" applyFill="1" applyBorder="1"/>
    <xf numFmtId="0" fontId="2" fillId="21" borderId="19" xfId="0" applyFont="1" applyFill="1" applyBorder="1"/>
    <xf numFmtId="0" fontId="14" fillId="22" borderId="29" xfId="0" applyFont="1" applyFill="1" applyBorder="1"/>
    <xf numFmtId="0" fontId="0" fillId="23" borderId="0" xfId="0" applyFill="1"/>
    <xf numFmtId="0" fontId="0" fillId="22" borderId="0" xfId="0" applyFill="1"/>
    <xf numFmtId="0" fontId="3" fillId="24" borderId="1" xfId="0" applyFont="1" applyFill="1" applyBorder="1"/>
    <xf numFmtId="0" fontId="3" fillId="24" borderId="19" xfId="0" applyFont="1" applyFill="1" applyBorder="1"/>
    <xf numFmtId="0" fontId="3" fillId="24" borderId="0" xfId="0" applyFont="1" applyFill="1"/>
    <xf numFmtId="0" fontId="5" fillId="24" borderId="29" xfId="0" applyFont="1" applyFill="1" applyBorder="1"/>
    <xf numFmtId="0" fontId="5" fillId="24" borderId="0" xfId="0" applyFont="1" applyFill="1"/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0" fontId="0" fillId="21" borderId="0" xfId="0" applyFill="1"/>
    <xf numFmtId="0" fontId="14" fillId="21" borderId="0" xfId="0" applyFont="1" applyFill="1"/>
    <xf numFmtId="0" fontId="5" fillId="21" borderId="0" xfId="0" applyFont="1" applyFill="1"/>
    <xf numFmtId="0" fontId="5" fillId="21" borderId="0" xfId="0" applyFont="1" applyFill="1" applyAlignment="1">
      <alignment horizontal="center"/>
    </xf>
    <xf numFmtId="164" fontId="5" fillId="21" borderId="0" xfId="2" applyNumberFormat="1" applyFont="1" applyFill="1" applyAlignment="1">
      <alignment horizontal="center"/>
    </xf>
    <xf numFmtId="44" fontId="5" fillId="21" borderId="0" xfId="1" applyFont="1" applyFill="1"/>
    <xf numFmtId="165" fontId="5" fillId="21" borderId="0" xfId="2" applyNumberFormat="1" applyFont="1" applyFill="1" applyAlignment="1">
      <alignment horizontal="center"/>
    </xf>
    <xf numFmtId="0" fontId="5" fillId="21" borderId="0" xfId="0" applyFont="1" applyFill="1" applyAlignment="1">
      <alignment horizontal="right"/>
    </xf>
    <xf numFmtId="44" fontId="0" fillId="21" borderId="0" xfId="0" applyNumberFormat="1" applyFill="1"/>
    <xf numFmtId="0" fontId="7" fillId="21" borderId="0" xfId="0" applyFont="1" applyFill="1" applyAlignment="1">
      <alignment horizontal="center"/>
    </xf>
    <xf numFmtId="9" fontId="8" fillId="21" borderId="0" xfId="2" applyFont="1" applyFill="1" applyAlignment="1">
      <alignment horizontal="right" vertical="center"/>
    </xf>
    <xf numFmtId="10" fontId="8" fillId="21" borderId="0" xfId="2" applyNumberFormat="1" applyFont="1" applyFill="1" applyAlignment="1">
      <alignment vertical="center"/>
    </xf>
    <xf numFmtId="164" fontId="9" fillId="21" borderId="1" xfId="2" applyNumberFormat="1" applyFont="1" applyFill="1" applyBorder="1"/>
    <xf numFmtId="9" fontId="7" fillId="21" borderId="1" xfId="2" applyFont="1" applyFill="1" applyBorder="1" applyAlignment="1">
      <alignment horizontal="center" vertical="center"/>
    </xf>
    <xf numFmtId="164" fontId="8" fillId="21" borderId="0" xfId="2" applyNumberFormat="1" applyFont="1" applyFill="1" applyAlignment="1">
      <alignment horizontal="center"/>
    </xf>
    <xf numFmtId="44" fontId="3" fillId="21" borderId="0" xfId="1" applyFont="1" applyFill="1"/>
    <xf numFmtId="0" fontId="11" fillId="21" borderId="0" xfId="0" applyFont="1" applyFill="1" applyAlignment="1">
      <alignment horizontal="center" vertical="center"/>
    </xf>
    <xf numFmtId="0" fontId="19" fillId="21" borderId="0" xfId="0" applyFont="1" applyFill="1"/>
    <xf numFmtId="0" fontId="19" fillId="21" borderId="0" xfId="0" applyFont="1" applyFill="1" applyAlignment="1">
      <alignment horizontal="center" vertical="center"/>
    </xf>
    <xf numFmtId="164" fontId="19" fillId="21" borderId="0" xfId="2" applyNumberFormat="1" applyFont="1" applyFill="1" applyAlignment="1">
      <alignment horizontal="center"/>
    </xf>
    <xf numFmtId="44" fontId="19" fillId="21" borderId="0" xfId="1" applyFont="1" applyFill="1"/>
    <xf numFmtId="0" fontId="7" fillId="21" borderId="0" xfId="0" applyFont="1" applyFill="1"/>
    <xf numFmtId="44" fontId="7" fillId="21" borderId="0" xfId="0" applyNumberFormat="1" applyFont="1" applyFill="1"/>
    <xf numFmtId="164" fontId="19" fillId="21" borderId="0" xfId="2" applyNumberFormat="1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10" fontId="19" fillId="21" borderId="0" xfId="2" applyNumberFormat="1" applyFont="1" applyFill="1" applyAlignment="1">
      <alignment horizontal="center" vertical="center"/>
    </xf>
    <xf numFmtId="44" fontId="7" fillId="21" borderId="0" xfId="1" applyFont="1" applyFill="1" applyAlignment="1">
      <alignment horizontal="center" vertical="center"/>
    </xf>
    <xf numFmtId="164" fontId="19" fillId="21" borderId="0" xfId="2" applyNumberFormat="1" applyFont="1" applyFill="1" applyAlignment="1">
      <alignment horizontal="left"/>
    </xf>
    <xf numFmtId="10" fontId="19" fillId="21" borderId="0" xfId="2" applyNumberFormat="1" applyFont="1" applyFill="1" applyAlignment="1">
      <alignment horizontal="left"/>
    </xf>
    <xf numFmtId="44" fontId="7" fillId="21" borderId="0" xfId="1" applyFont="1" applyFill="1"/>
    <xf numFmtId="0" fontId="23" fillId="21" borderId="0" xfId="0" applyFont="1" applyFill="1"/>
    <xf numFmtId="44" fontId="23" fillId="21" borderId="0" xfId="1" applyFont="1" applyFill="1"/>
    <xf numFmtId="44" fontId="5" fillId="21" borderId="0" xfId="1" applyFont="1" applyFill="1" applyAlignment="1">
      <alignment horizontal="center"/>
    </xf>
    <xf numFmtId="165" fontId="5" fillId="21" borderId="0" xfId="2" applyNumberFormat="1" applyFont="1" applyFill="1"/>
    <xf numFmtId="44" fontId="0" fillId="21" borderId="0" xfId="1" applyFont="1" applyFill="1"/>
    <xf numFmtId="0" fontId="0" fillId="21" borderId="7" xfId="0" applyFill="1" applyBorder="1"/>
    <xf numFmtId="44" fontId="5" fillId="21" borderId="7" xfId="1" applyFont="1" applyFill="1" applyBorder="1"/>
    <xf numFmtId="44" fontId="0" fillId="21" borderId="7" xfId="1" applyFont="1" applyFill="1" applyBorder="1"/>
    <xf numFmtId="0" fontId="0" fillId="21" borderId="16" xfId="0" applyFill="1" applyBorder="1"/>
    <xf numFmtId="164" fontId="5" fillId="21" borderId="16" xfId="2" applyNumberFormat="1" applyFont="1" applyFill="1" applyBorder="1" applyAlignment="1">
      <alignment horizontal="center"/>
    </xf>
    <xf numFmtId="44" fontId="5" fillId="21" borderId="16" xfId="1" applyFont="1" applyFill="1" applyBorder="1"/>
    <xf numFmtId="44" fontId="0" fillId="21" borderId="23" xfId="1" applyFont="1" applyFill="1" applyBorder="1"/>
    <xf numFmtId="164" fontId="5" fillId="21" borderId="0" xfId="0" applyNumberFormat="1" applyFont="1" applyFill="1" applyAlignment="1">
      <alignment horizontal="right"/>
    </xf>
    <xf numFmtId="165" fontId="5" fillId="21" borderId="0" xfId="0" applyNumberFormat="1" applyFont="1" applyFill="1" applyAlignment="1">
      <alignment horizontal="center"/>
    </xf>
    <xf numFmtId="0" fontId="0" fillId="21" borderId="0" xfId="0" applyFill="1" applyAlignment="1">
      <alignment horizontal="right"/>
    </xf>
    <xf numFmtId="0" fontId="0" fillId="21" borderId="3" xfId="0" applyFill="1" applyBorder="1"/>
    <xf numFmtId="164" fontId="5" fillId="21" borderId="3" xfId="2" applyNumberFormat="1" applyFont="1" applyFill="1" applyBorder="1" applyAlignment="1">
      <alignment horizontal="center"/>
    </xf>
    <xf numFmtId="44" fontId="5" fillId="21" borderId="3" xfId="1" applyFont="1" applyFill="1" applyBorder="1"/>
    <xf numFmtId="44" fontId="0" fillId="21" borderId="4" xfId="1" applyFont="1" applyFill="1" applyBorder="1"/>
    <xf numFmtId="44" fontId="5" fillId="21" borderId="0" xfId="1" applyFont="1" applyFill="1" applyAlignment="1">
      <alignment horizontal="right"/>
    </xf>
    <xf numFmtId="44" fontId="0" fillId="21" borderId="6" xfId="1" applyFont="1" applyFill="1" applyBorder="1"/>
    <xf numFmtId="44" fontId="0" fillId="21" borderId="16" xfId="1" applyFont="1" applyFill="1" applyBorder="1"/>
    <xf numFmtId="10" fontId="5" fillId="21" borderId="7" xfId="2" applyNumberFormat="1" applyFont="1" applyFill="1" applyBorder="1" applyAlignment="1">
      <alignment horizontal="center"/>
    </xf>
    <xf numFmtId="49" fontId="4" fillId="21" borderId="16" xfId="0" applyNumberFormat="1" applyFont="1" applyFill="1" applyBorder="1" applyAlignment="1">
      <alignment horizontal="center"/>
    </xf>
    <xf numFmtId="49" fontId="4" fillId="21" borderId="0" xfId="0" applyNumberFormat="1" applyFont="1" applyFill="1" applyAlignment="1">
      <alignment horizontal="center"/>
    </xf>
    <xf numFmtId="49" fontId="4" fillId="21" borderId="3" xfId="0" applyNumberFormat="1" applyFont="1" applyFill="1" applyBorder="1" applyAlignment="1">
      <alignment horizontal="center"/>
    </xf>
    <xf numFmtId="49" fontId="4" fillId="21" borderId="0" xfId="0" applyNumberFormat="1" applyFont="1" applyFill="1"/>
    <xf numFmtId="10" fontId="23" fillId="21" borderId="0" xfId="2" applyNumberFormat="1" applyFont="1" applyFill="1" applyAlignment="1">
      <alignment horizontal="center"/>
    </xf>
    <xf numFmtId="0" fontId="5" fillId="21" borderId="7" xfId="0" applyFont="1" applyFill="1" applyBorder="1"/>
    <xf numFmtId="10" fontId="5" fillId="21" borderId="7" xfId="2" applyNumberFormat="1" applyFont="1" applyFill="1" applyBorder="1" applyAlignment="1">
      <alignment horizontal="left"/>
    </xf>
    <xf numFmtId="164" fontId="5" fillId="21" borderId="7" xfId="2" applyNumberFormat="1" applyFont="1" applyFill="1" applyBorder="1" applyAlignment="1">
      <alignment horizontal="center"/>
    </xf>
    <xf numFmtId="10" fontId="5" fillId="21" borderId="0" xfId="2" applyNumberFormat="1" applyFont="1" applyFill="1" applyAlignment="1">
      <alignment horizontal="center"/>
    </xf>
    <xf numFmtId="0" fontId="11" fillId="21" borderId="0" xfId="0" applyFont="1" applyFill="1"/>
    <xf numFmtId="49" fontId="24" fillId="25" borderId="0" xfId="0" applyNumberFormat="1" applyFont="1" applyFill="1" applyAlignment="1">
      <alignment horizontal="center"/>
    </xf>
    <xf numFmtId="10" fontId="5" fillId="21" borderId="0" xfId="0" applyNumberFormat="1" applyFont="1" applyFill="1" applyAlignment="1">
      <alignment horizontal="center"/>
    </xf>
    <xf numFmtId="0" fontId="0" fillId="21" borderId="2" xfId="0" applyFill="1" applyBorder="1"/>
    <xf numFmtId="0" fontId="0" fillId="21" borderId="0" xfId="0" applyFill="1" applyAlignment="1">
      <alignment horizontal="center" vertical="center" textRotation="90"/>
    </xf>
    <xf numFmtId="0" fontId="5" fillId="21" borderId="16" xfId="0" applyFont="1" applyFill="1" applyBorder="1"/>
    <xf numFmtId="0" fontId="5" fillId="21" borderId="16" xfId="0" applyFont="1" applyFill="1" applyBorder="1" applyAlignment="1">
      <alignment horizontal="center"/>
    </xf>
    <xf numFmtId="0" fontId="0" fillId="21" borderId="0" xfId="0" applyFill="1" applyBorder="1"/>
    <xf numFmtId="0" fontId="5" fillId="21" borderId="0" xfId="0" applyFont="1" applyFill="1" applyBorder="1"/>
    <xf numFmtId="44" fontId="5" fillId="21" borderId="47" xfId="0" applyNumberFormat="1" applyFont="1" applyFill="1" applyBorder="1"/>
    <xf numFmtId="10" fontId="5" fillId="21" borderId="0" xfId="2" applyNumberFormat="1" applyFont="1" applyFill="1" applyBorder="1" applyAlignment="1">
      <alignment horizontal="center"/>
    </xf>
    <xf numFmtId="164" fontId="5" fillId="21" borderId="0" xfId="2" applyNumberFormat="1" applyFont="1" applyFill="1" applyBorder="1" applyAlignment="1">
      <alignment horizontal="center"/>
    </xf>
    <xf numFmtId="44" fontId="5" fillId="21" borderId="0" xfId="1" applyFont="1" applyFill="1" applyBorder="1"/>
    <xf numFmtId="0" fontId="0" fillId="21" borderId="5" xfId="0" applyFill="1" applyBorder="1"/>
    <xf numFmtId="9" fontId="30" fillId="21" borderId="0" xfId="2" applyFont="1" applyFill="1" applyBorder="1" applyAlignment="1">
      <alignment vertical="center"/>
    </xf>
    <xf numFmtId="0" fontId="5" fillId="21" borderId="5" xfId="0" applyFont="1" applyFill="1" applyBorder="1"/>
    <xf numFmtId="0" fontId="23" fillId="21" borderId="5" xfId="0" applyFont="1" applyFill="1" applyBorder="1"/>
    <xf numFmtId="0" fontId="0" fillId="21" borderId="22" xfId="0" applyFill="1" applyBorder="1"/>
    <xf numFmtId="44" fontId="5" fillId="21" borderId="7" xfId="1" applyFont="1" applyFill="1" applyBorder="1" applyAlignment="1">
      <alignment horizontal="center"/>
    </xf>
    <xf numFmtId="0" fontId="2" fillId="21" borderId="0" xfId="0" applyFont="1" applyFill="1" applyBorder="1"/>
    <xf numFmtId="9" fontId="2" fillId="21" borderId="0" xfId="2" applyFont="1" applyFill="1" applyBorder="1" applyAlignment="1">
      <alignment horizontal="center" vertical="center"/>
    </xf>
    <xf numFmtId="0" fontId="2" fillId="21" borderId="0" xfId="0" applyFont="1" applyFill="1"/>
    <xf numFmtId="9" fontId="2" fillId="21" borderId="0" xfId="2" applyFont="1" applyFill="1" applyAlignment="1">
      <alignment horizontal="center" vertical="center"/>
    </xf>
    <xf numFmtId="0" fontId="28" fillId="21" borderId="44" xfId="0" applyFont="1" applyFill="1" applyBorder="1"/>
    <xf numFmtId="0" fontId="26" fillId="21" borderId="0" xfId="0" applyFont="1" applyFill="1" applyBorder="1"/>
    <xf numFmtId="0" fontId="26" fillId="21" borderId="0" xfId="0" applyFont="1" applyFill="1" applyBorder="1" applyAlignment="1">
      <alignment horizontal="left"/>
    </xf>
    <xf numFmtId="44" fontId="5" fillId="21" borderId="46" xfId="0" applyNumberFormat="1" applyFont="1" applyFill="1" applyBorder="1"/>
    <xf numFmtId="0" fontId="3" fillId="21" borderId="0" xfId="0" applyFont="1" applyFill="1"/>
    <xf numFmtId="9" fontId="3" fillId="21" borderId="0" xfId="2" applyFont="1" applyFill="1" applyAlignment="1">
      <alignment horizontal="center" vertical="center"/>
    </xf>
    <xf numFmtId="0" fontId="28" fillId="21" borderId="48" xfId="0" applyFont="1" applyFill="1" applyBorder="1"/>
    <xf numFmtId="0" fontId="26" fillId="21" borderId="7" xfId="0" applyFont="1" applyFill="1" applyBorder="1"/>
    <xf numFmtId="0" fontId="26" fillId="21" borderId="7" xfId="0" applyFont="1" applyFill="1" applyBorder="1" applyAlignment="1">
      <alignment horizontal="left"/>
    </xf>
    <xf numFmtId="44" fontId="5" fillId="21" borderId="50" xfId="0" applyNumberFormat="1" applyFont="1" applyFill="1" applyBorder="1"/>
    <xf numFmtId="0" fontId="0" fillId="21" borderId="27" xfId="0" applyFill="1" applyBorder="1"/>
    <xf numFmtId="10" fontId="26" fillId="21" borderId="0" xfId="0" applyNumberFormat="1" applyFont="1" applyFill="1" applyBorder="1" applyAlignment="1">
      <alignment horizontal="center"/>
    </xf>
    <xf numFmtId="0" fontId="5" fillId="21" borderId="0" xfId="0" applyFont="1" applyFill="1" applyBorder="1" applyAlignment="1">
      <alignment horizontal="right"/>
    </xf>
    <xf numFmtId="166" fontId="5" fillId="21" borderId="46" xfId="2" applyNumberFormat="1" applyFont="1" applyFill="1" applyBorder="1" applyAlignment="1">
      <alignment horizontal="center"/>
    </xf>
    <xf numFmtId="44" fontId="0" fillId="21" borderId="0" xfId="1" applyFont="1" applyFill="1" applyBorder="1" applyAlignment="1">
      <alignment horizontal="center"/>
    </xf>
    <xf numFmtId="0" fontId="26" fillId="21" borderId="17" xfId="0" applyFont="1" applyFill="1" applyBorder="1"/>
    <xf numFmtId="0" fontId="26" fillId="21" borderId="1" xfId="0" applyFont="1" applyFill="1" applyBorder="1"/>
    <xf numFmtId="10" fontId="26" fillId="21" borderId="1" xfId="2" applyNumberFormat="1" applyFont="1" applyFill="1" applyBorder="1" applyAlignment="1">
      <alignment horizontal="center"/>
    </xf>
    <xf numFmtId="10" fontId="26" fillId="21" borderId="1" xfId="2" applyNumberFormat="1" applyFont="1" applyFill="1" applyBorder="1" applyAlignment="1">
      <alignment horizontal="right"/>
    </xf>
    <xf numFmtId="44" fontId="28" fillId="21" borderId="29" xfId="0" applyNumberFormat="1" applyFont="1" applyFill="1" applyBorder="1"/>
    <xf numFmtId="164" fontId="5" fillId="21" borderId="7" xfId="2" applyNumberFormat="1" applyFont="1" applyFill="1" applyBorder="1" applyAlignment="1">
      <alignment horizontal="left"/>
    </xf>
    <xf numFmtId="167" fontId="0" fillId="21" borderId="7" xfId="0" applyNumberFormat="1" applyFill="1" applyBorder="1"/>
    <xf numFmtId="0" fontId="28" fillId="21" borderId="0" xfId="0" applyFont="1" applyFill="1"/>
    <xf numFmtId="0" fontId="28" fillId="21" borderId="0" xfId="0" applyFont="1" applyFill="1" applyBorder="1"/>
    <xf numFmtId="44" fontId="5" fillId="21" borderId="0" xfId="0" applyNumberFormat="1" applyFont="1" applyFill="1" applyBorder="1"/>
    <xf numFmtId="0" fontId="26" fillId="21" borderId="0" xfId="0" applyFont="1" applyFill="1"/>
    <xf numFmtId="0" fontId="26" fillId="21" borderId="0" xfId="0" applyFont="1" applyFill="1" applyAlignment="1">
      <alignment horizontal="left"/>
    </xf>
    <xf numFmtId="44" fontId="5" fillId="21" borderId="0" xfId="0" applyNumberFormat="1" applyFont="1" applyFill="1"/>
    <xf numFmtId="44" fontId="5" fillId="21" borderId="49" xfId="0" applyNumberFormat="1" applyFont="1" applyFill="1" applyBorder="1"/>
    <xf numFmtId="44" fontId="5" fillId="21" borderId="51" xfId="0" applyNumberFormat="1" applyFont="1" applyFill="1" applyBorder="1"/>
    <xf numFmtId="10" fontId="5" fillId="21" borderId="47" xfId="2" applyNumberFormat="1" applyFont="1" applyFill="1" applyBorder="1" applyAlignment="1">
      <alignment horizontal="center"/>
    </xf>
    <xf numFmtId="10" fontId="26" fillId="21" borderId="0" xfId="0" applyNumberFormat="1" applyFont="1" applyFill="1" applyAlignment="1">
      <alignment horizontal="center"/>
    </xf>
    <xf numFmtId="49" fontId="4" fillId="21" borderId="13" xfId="0" applyNumberFormat="1" applyFont="1" applyFill="1" applyBorder="1" applyAlignment="1">
      <alignment horizontal="center"/>
    </xf>
    <xf numFmtId="49" fontId="4" fillId="21" borderId="0" xfId="0" applyNumberFormat="1" applyFont="1" applyFill="1" applyBorder="1" applyAlignment="1">
      <alignment horizontal="center"/>
    </xf>
    <xf numFmtId="10" fontId="26" fillId="21" borderId="0" xfId="2" applyNumberFormat="1" applyFont="1" applyFill="1" applyAlignment="1">
      <alignment horizontal="center"/>
    </xf>
    <xf numFmtId="10" fontId="26" fillId="21" borderId="0" xfId="2" applyNumberFormat="1" applyFont="1" applyFill="1" applyAlignment="1">
      <alignment horizontal="right"/>
    </xf>
    <xf numFmtId="44" fontId="28" fillId="21" borderId="0" xfId="0" applyNumberFormat="1" applyFont="1" applyFill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12" borderId="0" xfId="0" applyFont="1" applyFill="1" applyAlignment="1">
      <alignment vertical="center"/>
    </xf>
    <xf numFmtId="0" fontId="2" fillId="26" borderId="0" xfId="0" applyFont="1" applyFill="1"/>
    <xf numFmtId="0" fontId="4" fillId="26" borderId="0" xfId="0" applyFont="1" applyFill="1"/>
    <xf numFmtId="44" fontId="14" fillId="26" borderId="0" xfId="1" applyFont="1" applyFill="1"/>
    <xf numFmtId="44" fontId="4" fillId="26" borderId="0" xfId="1" applyFont="1" applyFill="1"/>
    <xf numFmtId="44" fontId="14" fillId="26" borderId="0" xfId="1" applyFont="1" applyFill="1" applyAlignment="1">
      <alignment horizontal="center"/>
    </xf>
    <xf numFmtId="10" fontId="14" fillId="26" borderId="0" xfId="2" applyNumberFormat="1" applyFont="1" applyFill="1" applyAlignment="1">
      <alignment horizontal="center"/>
    </xf>
    <xf numFmtId="0" fontId="0" fillId="26" borderId="0" xfId="0" applyFill="1"/>
    <xf numFmtId="0" fontId="33" fillId="10" borderId="0" xfId="0" applyFont="1" applyFill="1" applyAlignment="1">
      <alignment vertical="center"/>
    </xf>
    <xf numFmtId="44" fontId="33" fillId="10" borderId="0" xfId="1" applyFont="1" applyFill="1" applyAlignment="1">
      <alignment vertical="center"/>
    </xf>
    <xf numFmtId="44" fontId="33" fillId="10" borderId="0" xfId="1" applyFont="1" applyFill="1" applyAlignment="1" applyProtection="1">
      <alignment vertical="center"/>
      <protection locked="0"/>
    </xf>
    <xf numFmtId="10" fontId="34" fillId="10" borderId="0" xfId="2" applyNumberFormat="1" applyFont="1" applyFill="1" applyAlignment="1">
      <alignment horizontal="center" vertical="center"/>
    </xf>
    <xf numFmtId="0" fontId="19" fillId="10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6" borderId="0" xfId="0" applyFont="1" applyFill="1" applyAlignment="1">
      <alignment horizontal="center"/>
    </xf>
    <xf numFmtId="44" fontId="16" fillId="26" borderId="0" xfId="1" applyFont="1" applyFill="1"/>
    <xf numFmtId="0" fontId="4" fillId="27" borderId="0" xfId="0" applyFont="1" applyFill="1"/>
    <xf numFmtId="44" fontId="14" fillId="27" borderId="0" xfId="1" applyFont="1" applyFill="1"/>
    <xf numFmtId="44" fontId="16" fillId="27" borderId="0" xfId="1" applyFont="1" applyFill="1"/>
    <xf numFmtId="10" fontId="14" fillId="27" borderId="0" xfId="2" applyNumberFormat="1" applyFont="1" applyFill="1" applyAlignment="1">
      <alignment horizontal="center"/>
    </xf>
    <xf numFmtId="44" fontId="14" fillId="18" borderId="0" xfId="2" applyNumberFormat="1" applyFont="1" applyFill="1" applyAlignment="1" applyProtection="1">
      <alignment horizontal="center"/>
      <protection locked="0"/>
    </xf>
    <xf numFmtId="0" fontId="35" fillId="12" borderId="0" xfId="0" applyFont="1" applyFill="1" applyAlignment="1">
      <alignment horizontal="center" vertical="center"/>
    </xf>
    <xf numFmtId="44" fontId="35" fillId="12" borderId="0" xfId="1" applyFont="1" applyFill="1" applyAlignment="1">
      <alignment vertical="center"/>
    </xf>
    <xf numFmtId="0" fontId="36" fillId="12" borderId="0" xfId="0" applyFont="1" applyFill="1" applyAlignment="1">
      <alignment vertical="center"/>
    </xf>
    <xf numFmtId="44" fontId="36" fillId="12" borderId="0" xfId="1" applyFont="1" applyFill="1" applyAlignment="1">
      <alignment vertical="center"/>
    </xf>
    <xf numFmtId="44" fontId="35" fillId="11" borderId="0" xfId="1" applyFont="1" applyFill="1" applyAlignment="1">
      <alignment vertical="center"/>
    </xf>
    <xf numFmtId="0" fontId="37" fillId="12" borderId="0" xfId="0" applyFont="1" applyFill="1" applyAlignment="1">
      <alignment vertical="center"/>
    </xf>
    <xf numFmtId="10" fontId="36" fillId="12" borderId="0" xfId="2" applyNumberFormat="1" applyFont="1" applyFill="1" applyAlignment="1">
      <alignment horizontal="center" vertical="center"/>
    </xf>
    <xf numFmtId="0" fontId="37" fillId="0" borderId="0" xfId="0" applyFont="1" applyAlignment="1">
      <alignment vertical="center"/>
    </xf>
    <xf numFmtId="44" fontId="14" fillId="13" borderId="0" xfId="1" applyFont="1" applyFill="1"/>
    <xf numFmtId="10" fontId="14" fillId="13" borderId="0" xfId="2" applyNumberFormat="1" applyFont="1" applyFill="1" applyAlignment="1">
      <alignment horizontal="center"/>
    </xf>
    <xf numFmtId="44" fontId="14" fillId="27" borderId="0" xfId="1" applyFont="1" applyFill="1" applyProtection="1">
      <protection locked="0"/>
    </xf>
    <xf numFmtId="0" fontId="5" fillId="14" borderId="0" xfId="0" applyFont="1" applyFill="1"/>
    <xf numFmtId="0" fontId="0" fillId="14" borderId="0" xfId="0" applyFill="1"/>
    <xf numFmtId="10" fontId="5" fillId="14" borderId="0" xfId="2" applyNumberFormat="1" applyFont="1" applyFill="1" applyAlignment="1">
      <alignment horizontal="center"/>
    </xf>
    <xf numFmtId="0" fontId="32" fillId="12" borderId="0" xfId="0" applyFont="1" applyFill="1" applyAlignment="1">
      <alignment horizontal="center"/>
    </xf>
    <xf numFmtId="0" fontId="33" fillId="12" borderId="0" xfId="0" applyFont="1" applyFill="1"/>
    <xf numFmtId="44" fontId="38" fillId="12" borderId="0" xfId="1" applyFont="1" applyFill="1"/>
    <xf numFmtId="44" fontId="39" fillId="12" borderId="0" xfId="1" applyFont="1" applyFill="1"/>
    <xf numFmtId="44" fontId="33" fillId="12" borderId="0" xfId="1" applyFont="1" applyFill="1"/>
    <xf numFmtId="10" fontId="14" fillId="12" borderId="0" xfId="2" applyNumberFormat="1" applyFont="1" applyFill="1" applyAlignment="1">
      <alignment horizontal="center"/>
    </xf>
    <xf numFmtId="10" fontId="38" fillId="12" borderId="0" xfId="2" applyNumberFormat="1" applyFont="1" applyFill="1" applyAlignment="1">
      <alignment horizontal="center"/>
    </xf>
    <xf numFmtId="44" fontId="2" fillId="26" borderId="0" xfId="1" applyFont="1" applyFill="1"/>
    <xf numFmtId="0" fontId="14" fillId="15" borderId="0" xfId="0" applyFont="1" applyFill="1"/>
    <xf numFmtId="0" fontId="4" fillId="15" borderId="0" xfId="0" applyFont="1" applyFill="1"/>
    <xf numFmtId="10" fontId="14" fillId="15" borderId="0" xfId="2" applyNumberFormat="1" applyFont="1" applyFill="1" applyAlignment="1">
      <alignment horizontal="center"/>
    </xf>
    <xf numFmtId="44" fontId="14" fillId="27" borderId="0" xfId="2" applyNumberFormat="1" applyFont="1" applyFill="1" applyAlignment="1" applyProtection="1">
      <alignment horizontal="center"/>
      <protection locked="0"/>
    </xf>
    <xf numFmtId="10" fontId="5" fillId="12" borderId="0" xfId="2" applyNumberFormat="1" applyFont="1" applyFill="1" applyAlignment="1">
      <alignment horizontal="center"/>
    </xf>
    <xf numFmtId="0" fontId="14" fillId="18" borderId="0" xfId="0" applyFont="1" applyFill="1"/>
    <xf numFmtId="0" fontId="4" fillId="18" borderId="0" xfId="0" applyFont="1" applyFill="1"/>
    <xf numFmtId="10" fontId="14" fillId="18" borderId="0" xfId="2" applyNumberFormat="1" applyFont="1" applyFill="1" applyAlignment="1">
      <alignment horizontal="center"/>
    </xf>
    <xf numFmtId="0" fontId="4" fillId="21" borderId="0" xfId="0" applyFont="1" applyFill="1"/>
    <xf numFmtId="10" fontId="14" fillId="21" borderId="0" xfId="2" applyNumberFormat="1" applyFont="1" applyFill="1" applyAlignment="1">
      <alignment horizontal="center"/>
    </xf>
    <xf numFmtId="0" fontId="32" fillId="10" borderId="0" xfId="0" applyFont="1" applyFill="1" applyAlignment="1">
      <alignment horizontal="center"/>
    </xf>
    <xf numFmtId="44" fontId="33" fillId="10" borderId="0" xfId="1" applyFont="1" applyFill="1"/>
    <xf numFmtId="0" fontId="39" fillId="10" borderId="0" xfId="0" applyFont="1" applyFill="1"/>
    <xf numFmtId="44" fontId="38" fillId="10" borderId="0" xfId="1" applyFont="1" applyFill="1"/>
    <xf numFmtId="44" fontId="39" fillId="10" borderId="0" xfId="1" applyFont="1" applyFill="1"/>
    <xf numFmtId="44" fontId="32" fillId="10" borderId="0" xfId="1" applyFont="1" applyFill="1"/>
    <xf numFmtId="10" fontId="14" fillId="10" borderId="0" xfId="2" applyNumberFormat="1" applyFont="1" applyFill="1" applyAlignment="1">
      <alignment horizontal="center"/>
    </xf>
    <xf numFmtId="10" fontId="38" fillId="10" borderId="0" xfId="2" applyNumberFormat="1" applyFont="1" applyFill="1" applyAlignment="1">
      <alignment horizontal="center"/>
    </xf>
    <xf numFmtId="10" fontId="5" fillId="8" borderId="0" xfId="2" applyNumberFormat="1" applyFont="1" applyFill="1" applyAlignment="1">
      <alignment horizontal="center"/>
    </xf>
    <xf numFmtId="0" fontId="39" fillId="12" borderId="0" xfId="0" applyFont="1" applyFill="1"/>
    <xf numFmtId="44" fontId="32" fillId="12" borderId="0" xfId="1" applyFont="1" applyFill="1"/>
    <xf numFmtId="44" fontId="14" fillId="26" borderId="0" xfId="1" applyFont="1" applyFill="1" applyProtection="1">
      <protection locked="0"/>
    </xf>
    <xf numFmtId="10" fontId="14" fillId="26" borderId="0" xfId="1" applyNumberFormat="1" applyFont="1" applyFill="1"/>
    <xf numFmtId="0" fontId="35" fillId="11" borderId="0" xfId="0" applyFont="1" applyFill="1" applyAlignment="1">
      <alignment horizontal="center" vertical="center"/>
    </xf>
    <xf numFmtId="0" fontId="35" fillId="11" borderId="0" xfId="0" applyFont="1" applyFill="1" applyAlignment="1">
      <alignment vertical="center"/>
    </xf>
    <xf numFmtId="44" fontId="35" fillId="11" borderId="0" xfId="1" applyFont="1" applyFill="1" applyAlignment="1">
      <alignment horizontal="right" vertical="center"/>
    </xf>
    <xf numFmtId="44" fontId="40" fillId="11" borderId="0" xfId="1" applyFont="1" applyFill="1" applyAlignment="1">
      <alignment vertical="center"/>
    </xf>
    <xf numFmtId="10" fontId="35" fillId="11" borderId="0" xfId="2" applyNumberFormat="1" applyFont="1" applyFill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0" fontId="39" fillId="11" borderId="0" xfId="0" applyFont="1" applyFill="1" applyAlignment="1">
      <alignment vertical="center"/>
    </xf>
    <xf numFmtId="0" fontId="4" fillId="26" borderId="0" xfId="0" applyFont="1" applyFill="1" applyAlignment="1">
      <alignment horizontal="center"/>
    </xf>
    <xf numFmtId="49" fontId="14" fillId="26" borderId="0" xfId="0" applyNumberFormat="1" applyFont="1" applyFill="1" applyAlignment="1">
      <alignment horizontal="left"/>
    </xf>
    <xf numFmtId="0" fontId="14" fillId="26" borderId="0" xfId="0" applyFont="1" applyFill="1" applyAlignment="1">
      <alignment horizontal="left"/>
    </xf>
    <xf numFmtId="164" fontId="7" fillId="8" borderId="0" xfId="2" applyNumberFormat="1" applyFont="1" applyFill="1" applyAlignment="1">
      <alignment vertical="center" wrapText="1"/>
    </xf>
    <xf numFmtId="164" fontId="5" fillId="8" borderId="0" xfId="2" applyNumberFormat="1" applyFont="1" applyFill="1" applyAlignment="1">
      <alignment horizontal="center" vertical="center"/>
    </xf>
    <xf numFmtId="44" fontId="7" fillId="8" borderId="0" xfId="0" applyNumberFormat="1" applyFont="1" applyFill="1" applyAlignment="1">
      <alignment horizontal="center" vertical="center"/>
    </xf>
    <xf numFmtId="0" fontId="2" fillId="21" borderId="0" xfId="0" applyFont="1" applyFill="1" applyBorder="1" applyAlignment="1">
      <alignment horizontal="center"/>
    </xf>
    <xf numFmtId="0" fontId="23" fillId="4" borderId="18" xfId="0" applyFont="1" applyFill="1" applyBorder="1" applyAlignment="1">
      <alignment horizontal="center"/>
    </xf>
    <xf numFmtId="0" fontId="23" fillId="4" borderId="19" xfId="0" applyFont="1" applyFill="1" applyBorder="1" applyAlignment="1">
      <alignment horizontal="center"/>
    </xf>
    <xf numFmtId="44" fontId="7" fillId="4" borderId="20" xfId="1" applyFont="1" applyFill="1" applyBorder="1" applyAlignment="1">
      <alignment horizontal="center"/>
    </xf>
    <xf numFmtId="44" fontId="7" fillId="4" borderId="21" xfId="1" applyFont="1" applyFill="1" applyBorder="1" applyAlignment="1">
      <alignment horizontal="center"/>
    </xf>
    <xf numFmtId="44" fontId="20" fillId="4" borderId="9" xfId="0" applyNumberFormat="1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164" fontId="7" fillId="8" borderId="0" xfId="2" applyNumberFormat="1" applyFont="1" applyFill="1" applyAlignment="1">
      <alignment horizontal="center" vertical="center" wrapText="1"/>
    </xf>
    <xf numFmtId="0" fontId="7" fillId="3" borderId="7" xfId="0" applyFont="1" applyFill="1" applyBorder="1" applyAlignment="1">
      <alignment horizontal="center"/>
    </xf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0" fontId="6" fillId="21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9" fontId="7" fillId="21" borderId="1" xfId="2" applyFont="1" applyFill="1" applyBorder="1" applyAlignment="1">
      <alignment horizontal="center" vertical="center"/>
    </xf>
    <xf numFmtId="164" fontId="9" fillId="21" borderId="1" xfId="2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44" fontId="12" fillId="3" borderId="11" xfId="1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44" fontId="12" fillId="3" borderId="9" xfId="1" applyFont="1" applyFill="1" applyBorder="1" applyAlignment="1">
      <alignment horizontal="center" vertical="center" wrapText="1"/>
    </xf>
    <xf numFmtId="44" fontId="12" fillId="3" borderId="10" xfId="1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/>
    </xf>
    <xf numFmtId="44" fontId="21" fillId="4" borderId="8" xfId="1" applyFont="1" applyFill="1" applyBorder="1" applyAlignment="1">
      <alignment horizontal="center"/>
    </xf>
    <xf numFmtId="44" fontId="21" fillId="4" borderId="10" xfId="1" applyFont="1" applyFill="1" applyBorder="1" applyAlignment="1">
      <alignment horizont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44" fontId="6" fillId="5" borderId="27" xfId="1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/>
    </xf>
    <xf numFmtId="44" fontId="6" fillId="6" borderId="11" xfId="1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left" vertical="center"/>
    </xf>
    <xf numFmtId="0" fontId="17" fillId="5" borderId="10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top"/>
    </xf>
    <xf numFmtId="0" fontId="10" fillId="5" borderId="0" xfId="0" applyFont="1" applyFill="1" applyAlignment="1">
      <alignment horizontal="center"/>
    </xf>
    <xf numFmtId="0" fontId="7" fillId="5" borderId="7" xfId="0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0" fontId="17" fillId="5" borderId="11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44" fontId="5" fillId="21" borderId="0" xfId="1" applyFont="1" applyFill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44" fontId="19" fillId="5" borderId="18" xfId="1" applyFont="1" applyFill="1" applyBorder="1" applyAlignment="1">
      <alignment horizontal="center"/>
    </xf>
    <xf numFmtId="44" fontId="19" fillId="5" borderId="29" xfId="1" applyFont="1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10" fontId="0" fillId="21" borderId="5" xfId="0" applyNumberFormat="1" applyFill="1" applyBorder="1" applyAlignment="1">
      <alignment horizontal="center" textRotation="90"/>
    </xf>
    <xf numFmtId="0" fontId="0" fillId="21" borderId="5" xfId="0" applyFill="1" applyBorder="1" applyAlignment="1">
      <alignment horizontal="center" textRotation="90"/>
    </xf>
    <xf numFmtId="0" fontId="0" fillId="21" borderId="22" xfId="0" applyFill="1" applyBorder="1" applyAlignment="1">
      <alignment horizontal="center" textRotation="90"/>
    </xf>
    <xf numFmtId="10" fontId="0" fillId="21" borderId="2" xfId="0" applyNumberFormat="1" applyFill="1" applyBorder="1" applyAlignment="1">
      <alignment horizontal="center" vertical="center" textRotation="90" wrapText="1"/>
    </xf>
    <xf numFmtId="10" fontId="0" fillId="21" borderId="5" xfId="0" applyNumberFormat="1" applyFill="1" applyBorder="1" applyAlignment="1">
      <alignment horizontal="center" vertical="center" textRotation="90" wrapText="1"/>
    </xf>
    <xf numFmtId="10" fontId="0" fillId="21" borderId="22" xfId="0" applyNumberFormat="1" applyFill="1" applyBorder="1" applyAlignment="1">
      <alignment horizontal="center" vertical="center" textRotation="90" wrapText="1"/>
    </xf>
    <xf numFmtId="10" fontId="0" fillId="21" borderId="5" xfId="0" applyNumberFormat="1" applyFill="1" applyBorder="1" applyAlignment="1">
      <alignment horizontal="center" vertical="center" textRotation="90"/>
    </xf>
    <xf numFmtId="0" fontId="0" fillId="21" borderId="5" xfId="0" applyFill="1" applyBorder="1" applyAlignment="1">
      <alignment horizontal="center" vertical="center" textRotation="90"/>
    </xf>
    <xf numFmtId="0" fontId="0" fillId="21" borderId="22" xfId="0" applyFill="1" applyBorder="1" applyAlignment="1">
      <alignment horizontal="center" vertical="center" textRotation="90"/>
    </xf>
    <xf numFmtId="10" fontId="0" fillId="21" borderId="37" xfId="0" applyNumberFormat="1" applyFill="1" applyBorder="1" applyAlignment="1">
      <alignment horizontal="center" vertical="center" textRotation="90"/>
    </xf>
    <xf numFmtId="0" fontId="0" fillId="21" borderId="38" xfId="0" applyFill="1" applyBorder="1" applyAlignment="1">
      <alignment horizontal="center" vertical="center" textRotation="90"/>
    </xf>
    <xf numFmtId="0" fontId="0" fillId="21" borderId="39" xfId="0" applyFill="1" applyBorder="1" applyAlignment="1">
      <alignment horizontal="center" vertical="center" textRotation="90"/>
    </xf>
    <xf numFmtId="49" fontId="4" fillId="21" borderId="0" xfId="0" applyNumberFormat="1" applyFont="1" applyFill="1" applyAlignment="1">
      <alignment horizontal="center"/>
    </xf>
    <xf numFmtId="44" fontId="7" fillId="11" borderId="0" xfId="1" applyFont="1" applyFill="1" applyAlignment="1">
      <alignment horizontal="center" vertical="center" wrapText="1"/>
    </xf>
    <xf numFmtId="0" fontId="5" fillId="21" borderId="0" xfId="0" applyFont="1" applyFill="1" applyBorder="1" applyAlignment="1">
      <alignment horizontal="center" vertical="center" wrapText="1"/>
    </xf>
    <xf numFmtId="0" fontId="3" fillId="10" borderId="0" xfId="0" applyFont="1" applyFill="1" applyBorder="1" applyAlignment="1">
      <alignment horizontal="center" vertical="center" wrapText="1"/>
    </xf>
    <xf numFmtId="0" fontId="28" fillId="21" borderId="45" xfId="0" applyFont="1" applyFill="1" applyBorder="1" applyAlignment="1">
      <alignment horizontal="center"/>
    </xf>
    <xf numFmtId="0" fontId="28" fillId="21" borderId="34" xfId="0" applyFont="1" applyFill="1" applyBorder="1" applyAlignment="1">
      <alignment horizontal="center"/>
    </xf>
    <xf numFmtId="0" fontId="28" fillId="21" borderId="46" xfId="0" applyFont="1" applyFill="1" applyBorder="1" applyAlignment="1">
      <alignment horizontal="center"/>
    </xf>
    <xf numFmtId="0" fontId="28" fillId="21" borderId="0" xfId="0" applyFont="1" applyFill="1" applyBorder="1" applyAlignment="1">
      <alignment horizontal="center"/>
    </xf>
    <xf numFmtId="9" fontId="29" fillId="10" borderId="0" xfId="2" applyFont="1" applyFill="1" applyBorder="1" applyAlignment="1">
      <alignment horizontal="center" vertical="center"/>
    </xf>
    <xf numFmtId="49" fontId="4" fillId="21" borderId="13" xfId="0" applyNumberFormat="1" applyFont="1" applyFill="1" applyBorder="1" applyAlignment="1">
      <alignment horizontal="center"/>
    </xf>
    <xf numFmtId="49" fontId="4" fillId="21" borderId="0" xfId="0" applyNumberFormat="1" applyFont="1" applyFill="1" applyBorder="1" applyAlignment="1">
      <alignment horizontal="center"/>
    </xf>
    <xf numFmtId="44" fontId="5" fillId="21" borderId="7" xfId="1" applyFont="1" applyFill="1" applyBorder="1" applyAlignment="1">
      <alignment horizontal="center"/>
    </xf>
    <xf numFmtId="0" fontId="25" fillId="9" borderId="28" xfId="0" applyFont="1" applyFill="1" applyBorder="1" applyAlignment="1">
      <alignment horizontal="center" vertical="center" wrapText="1"/>
    </xf>
    <xf numFmtId="0" fontId="25" fillId="9" borderId="42" xfId="0" applyFont="1" applyFill="1" applyBorder="1" applyAlignment="1">
      <alignment horizontal="center" vertical="center" wrapText="1"/>
    </xf>
    <xf numFmtId="0" fontId="25" fillId="9" borderId="15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center" vertical="center"/>
    </xf>
    <xf numFmtId="0" fontId="27" fillId="9" borderId="42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7" fillId="9" borderId="14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 textRotation="90"/>
    </xf>
    <xf numFmtId="0" fontId="0" fillId="0" borderId="55" xfId="0" applyBorder="1" applyAlignment="1">
      <alignment horizontal="center" vertical="center" textRotation="90"/>
    </xf>
    <xf numFmtId="0" fontId="0" fillId="0" borderId="53" xfId="0" applyBorder="1" applyAlignment="1">
      <alignment horizontal="center" vertical="center" textRotation="90"/>
    </xf>
    <xf numFmtId="0" fontId="0" fillId="24" borderId="45" xfId="0" applyFill="1" applyBorder="1" applyAlignment="1">
      <alignment horizontal="center" vertical="center" textRotation="90" wrapText="1"/>
    </xf>
    <xf numFmtId="0" fontId="0" fillId="24" borderId="44" xfId="0" applyFill="1" applyBorder="1" applyAlignment="1">
      <alignment horizontal="center" vertical="center" textRotation="90" wrapText="1"/>
    </xf>
    <xf numFmtId="0" fontId="4" fillId="20" borderId="0" xfId="0" applyFont="1" applyFill="1" applyAlignment="1">
      <alignment horizontal="center" vertical="center" textRotation="90" wrapText="1"/>
    </xf>
    <xf numFmtId="0" fontId="5" fillId="0" borderId="34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21" borderId="0" xfId="0" applyFont="1" applyFill="1" applyAlignment="1">
      <alignment horizontal="center" vertical="center" textRotation="90" wrapText="1"/>
    </xf>
    <xf numFmtId="0" fontId="5" fillId="0" borderId="52" xfId="0" applyFont="1" applyBorder="1" applyAlignment="1">
      <alignment horizontal="center" vertical="center" textRotation="90" wrapText="1"/>
    </xf>
    <xf numFmtId="0" fontId="5" fillId="0" borderId="55" xfId="0" applyFont="1" applyBorder="1" applyAlignment="1">
      <alignment horizontal="center" vertical="center" textRotation="90" wrapText="1"/>
    </xf>
    <xf numFmtId="0" fontId="5" fillId="0" borderId="53" xfId="0" applyFont="1" applyBorder="1" applyAlignment="1">
      <alignment horizontal="center" vertical="center" textRotation="90" wrapText="1"/>
    </xf>
    <xf numFmtId="0" fontId="0" fillId="22" borderId="52" xfId="0" applyFill="1" applyBorder="1" applyAlignment="1">
      <alignment horizontal="center" vertical="center" textRotation="90"/>
    </xf>
    <xf numFmtId="0" fontId="0" fillId="22" borderId="55" xfId="0" applyFill="1" applyBorder="1" applyAlignment="1">
      <alignment horizontal="center" vertical="center" textRotation="90"/>
    </xf>
    <xf numFmtId="0" fontId="0" fillId="22" borderId="53" xfId="0" applyFill="1" applyBorder="1" applyAlignment="1">
      <alignment horizontal="center" vertical="center" textRotation="90"/>
    </xf>
    <xf numFmtId="0" fontId="0" fillId="0" borderId="34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8" borderId="0" xfId="0" applyFill="1" applyAlignment="1">
      <alignment horizontal="center" vertical="center" textRotation="90" wrapText="1"/>
    </xf>
    <xf numFmtId="0" fontId="0" fillId="0" borderId="34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3" borderId="34" xfId="0" applyFont="1" applyFill="1" applyBorder="1" applyAlignment="1">
      <alignment horizontal="center" vertical="center" textRotation="90" wrapText="1"/>
    </xf>
    <xf numFmtId="0" fontId="4" fillId="13" borderId="0" xfId="0" applyFont="1" applyFill="1" applyAlignment="1">
      <alignment horizontal="center" vertical="center" textRotation="90" wrapText="1"/>
    </xf>
    <xf numFmtId="0" fontId="0" fillId="14" borderId="47" xfId="0" applyFill="1" applyBorder="1" applyAlignment="1">
      <alignment horizontal="center" vertical="center" textRotation="90" wrapText="1"/>
    </xf>
    <xf numFmtId="0" fontId="4" fillId="15" borderId="0" xfId="0" applyFont="1" applyFill="1" applyAlignment="1">
      <alignment horizontal="center" vertical="center" textRotation="90" wrapText="1"/>
    </xf>
    <xf numFmtId="0" fontId="0" fillId="16" borderId="52" xfId="0" applyFill="1" applyBorder="1" applyAlignment="1">
      <alignment horizontal="center" vertical="center" textRotation="90"/>
    </xf>
    <xf numFmtId="0" fontId="0" fillId="16" borderId="55" xfId="0" applyFill="1" applyBorder="1" applyAlignment="1">
      <alignment horizontal="center" vertical="center" textRotation="90"/>
    </xf>
    <xf numFmtId="0" fontId="4" fillId="17" borderId="52" xfId="0" applyFont="1" applyFill="1" applyBorder="1" applyAlignment="1">
      <alignment horizontal="center" vertical="center" textRotation="90"/>
    </xf>
    <xf numFmtId="0" fontId="4" fillId="17" borderId="55" xfId="0" applyFont="1" applyFill="1" applyBorder="1" applyAlignment="1">
      <alignment horizontal="center" vertical="center" textRotation="90"/>
    </xf>
    <xf numFmtId="0" fontId="0" fillId="19" borderId="45" xfId="0" applyFill="1" applyBorder="1" applyAlignment="1">
      <alignment horizontal="center" vertical="center" textRotation="90" wrapText="1"/>
    </xf>
    <xf numFmtId="0" fontId="0" fillId="19" borderId="44" xfId="0" applyFill="1" applyBorder="1" applyAlignment="1">
      <alignment horizontal="center" vertical="center" textRotation="90" wrapText="1"/>
    </xf>
    <xf numFmtId="0" fontId="0" fillId="19" borderId="17" xfId="0" applyFill="1" applyBorder="1" applyAlignment="1">
      <alignment horizontal="center" vertical="center" textRotation="90" wrapText="1"/>
    </xf>
    <xf numFmtId="0" fontId="31" fillId="12" borderId="0" xfId="0" applyFont="1" applyFill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textRotation="90" wrapText="1"/>
    </xf>
    <xf numFmtId="0" fontId="4" fillId="0" borderId="0" xfId="0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4E2-3925-4658-8276-0C1A0994D1F3}">
  <dimension ref="A1:AG90"/>
  <sheetViews>
    <sheetView topLeftCell="A36" zoomScaleNormal="100" workbookViewId="0">
      <selection activeCell="Q80" sqref="Q80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x14ac:dyDescent="0.3">
      <c r="A1" s="187"/>
      <c r="B1" s="187"/>
      <c r="C1" s="189"/>
      <c r="D1" s="189"/>
      <c r="E1" s="190"/>
      <c r="F1" s="187"/>
      <c r="G1" s="187"/>
      <c r="H1" s="187"/>
      <c r="I1" s="187"/>
      <c r="J1" s="187"/>
      <c r="K1" s="187"/>
      <c r="L1" s="187"/>
      <c r="M1" s="187"/>
      <c r="N1" s="187"/>
      <c r="O1" s="191"/>
      <c r="P1" s="191"/>
      <c r="Q1" s="187"/>
      <c r="R1" s="187"/>
      <c r="S1" s="192"/>
      <c r="T1" s="192"/>
      <c r="U1" s="187"/>
      <c r="V1" s="187"/>
      <c r="W1" s="187"/>
      <c r="X1" s="192"/>
      <c r="Y1" s="193"/>
      <c r="Z1" s="193"/>
      <c r="AA1" s="194"/>
      <c r="AB1" s="190"/>
      <c r="AC1" s="187"/>
      <c r="AD1" s="187"/>
      <c r="AE1" s="187"/>
      <c r="AF1" s="187"/>
      <c r="AG1" s="187"/>
    </row>
    <row r="2" spans="1:33" x14ac:dyDescent="0.3">
      <c r="A2" s="187"/>
      <c r="B2" s="411"/>
      <c r="C2" s="411"/>
      <c r="D2" s="411"/>
      <c r="E2" s="411"/>
      <c r="F2" s="187"/>
      <c r="G2" s="187"/>
      <c r="H2" s="187"/>
      <c r="I2" s="187"/>
      <c r="J2" s="187"/>
      <c r="K2" s="187"/>
      <c r="L2" s="187"/>
      <c r="M2" s="187"/>
      <c r="N2" s="187"/>
      <c r="O2" s="191"/>
      <c r="P2" s="191"/>
      <c r="Q2" s="187"/>
      <c r="R2" s="187"/>
      <c r="S2" s="192"/>
      <c r="T2" s="192"/>
      <c r="U2" s="195"/>
      <c r="V2" s="195"/>
      <c r="W2" s="187"/>
      <c r="X2" s="192"/>
      <c r="Y2" s="193"/>
      <c r="Z2" s="193"/>
      <c r="AA2" s="194"/>
      <c r="AB2" s="190"/>
      <c r="AC2" s="187"/>
      <c r="AD2" s="187"/>
      <c r="AE2" s="187"/>
      <c r="AF2" s="187"/>
      <c r="AG2" s="187"/>
    </row>
    <row r="3" spans="1:33" ht="18" x14ac:dyDescent="0.3">
      <c r="A3" s="187"/>
      <c r="B3" s="187"/>
      <c r="C3" s="196"/>
      <c r="D3" s="412"/>
      <c r="E3" s="412"/>
      <c r="F3" s="187"/>
      <c r="G3" s="187"/>
      <c r="H3" s="187"/>
      <c r="I3" s="187"/>
      <c r="J3" s="187"/>
      <c r="K3" s="187"/>
      <c r="L3" s="187"/>
      <c r="M3" s="187"/>
      <c r="N3" s="187"/>
      <c r="O3" s="191"/>
      <c r="P3" s="191"/>
      <c r="Q3" s="187"/>
      <c r="R3" s="187"/>
      <c r="S3" s="192"/>
      <c r="T3" s="197"/>
      <c r="U3" s="198"/>
      <c r="V3" s="187"/>
      <c r="W3" s="187"/>
      <c r="X3" s="192"/>
      <c r="Y3" s="193"/>
      <c r="Z3" s="193"/>
      <c r="AA3" s="194"/>
      <c r="AB3" s="190"/>
      <c r="AC3" s="187"/>
      <c r="AD3" s="187"/>
      <c r="AE3" s="187"/>
      <c r="AF3" s="187"/>
      <c r="AG3" s="187"/>
    </row>
    <row r="4" spans="1:33" ht="33.6" x14ac:dyDescent="0.65">
      <c r="A4" s="187"/>
      <c r="B4" s="199"/>
      <c r="C4" s="200"/>
      <c r="D4" s="413"/>
      <c r="E4" s="413"/>
      <c r="F4" s="199"/>
      <c r="G4" s="414" t="s">
        <v>135</v>
      </c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197"/>
      <c r="U4" s="198"/>
      <c r="V4" s="187"/>
      <c r="W4" s="187"/>
      <c r="X4" s="192"/>
      <c r="Y4" s="193"/>
      <c r="Z4" s="193"/>
      <c r="AA4" s="194"/>
      <c r="AB4" s="190"/>
      <c r="AC4" s="187"/>
      <c r="AD4" s="187"/>
      <c r="AE4" s="187"/>
      <c r="AF4" s="187"/>
      <c r="AG4" s="187"/>
    </row>
    <row r="5" spans="1:33" ht="18" x14ac:dyDescent="0.35">
      <c r="A5" s="187"/>
      <c r="B5" s="187"/>
      <c r="C5" s="189"/>
      <c r="D5" s="189"/>
      <c r="E5" s="190"/>
      <c r="F5" s="187"/>
      <c r="G5" s="187"/>
      <c r="H5" s="187"/>
      <c r="I5" s="187"/>
      <c r="J5" s="187"/>
      <c r="K5" s="187"/>
      <c r="L5" s="187"/>
      <c r="M5" s="187"/>
      <c r="N5" s="187"/>
      <c r="O5" s="201"/>
      <c r="P5" s="187"/>
      <c r="Q5" s="187"/>
      <c r="R5" s="187"/>
      <c r="S5" s="187"/>
      <c r="T5" s="187"/>
      <c r="U5" s="187"/>
      <c r="V5" s="202"/>
      <c r="W5" s="187"/>
      <c r="X5" s="192"/>
      <c r="Y5" s="193"/>
      <c r="Z5" s="193"/>
      <c r="AA5" s="194"/>
      <c r="AB5" s="190"/>
      <c r="AC5" s="187"/>
      <c r="AD5" s="187"/>
      <c r="AE5" s="187"/>
      <c r="AF5" s="187"/>
      <c r="AG5" s="187"/>
    </row>
    <row r="6" spans="1:33" ht="18" x14ac:dyDescent="0.35">
      <c r="A6" s="187"/>
      <c r="B6" s="187"/>
      <c r="C6" s="189"/>
      <c r="D6" s="189"/>
      <c r="E6" s="190"/>
      <c r="F6" s="187"/>
      <c r="G6" s="187"/>
      <c r="H6" s="187"/>
      <c r="I6" s="187"/>
      <c r="J6" s="187"/>
      <c r="K6" s="187"/>
      <c r="L6" s="187"/>
      <c r="M6" s="187"/>
      <c r="N6" s="187"/>
      <c r="O6" s="201"/>
      <c r="P6" s="187"/>
      <c r="Q6" s="187"/>
      <c r="R6" s="187"/>
      <c r="S6" s="187"/>
      <c r="T6" s="187"/>
      <c r="U6" s="187"/>
      <c r="V6" s="202"/>
      <c r="W6" s="187"/>
      <c r="X6" s="192"/>
      <c r="Y6" s="193"/>
      <c r="Z6" s="193"/>
      <c r="AA6" s="194"/>
      <c r="AB6" s="190"/>
      <c r="AC6" s="187"/>
      <c r="AD6" s="187"/>
      <c r="AE6" s="187"/>
      <c r="AF6" s="187"/>
      <c r="AG6" s="187"/>
    </row>
    <row r="7" spans="1:33" ht="18" x14ac:dyDescent="0.35">
      <c r="A7" s="187"/>
      <c r="B7" s="2"/>
      <c r="C7" s="3"/>
      <c r="D7" s="3"/>
      <c r="E7" s="4"/>
      <c r="F7" s="5"/>
      <c r="G7" s="5"/>
      <c r="H7" s="5"/>
      <c r="I7" s="5"/>
      <c r="J7" s="5"/>
      <c r="K7" s="5"/>
      <c r="L7" s="5"/>
      <c r="M7" s="5"/>
      <c r="N7" s="5"/>
      <c r="O7" s="6"/>
      <c r="P7" s="5"/>
      <c r="Q7" s="5"/>
      <c r="R7" s="5"/>
      <c r="S7" s="5"/>
      <c r="T7" s="5"/>
      <c r="U7" s="5"/>
      <c r="V7" s="7"/>
      <c r="W7" s="5"/>
      <c r="X7" s="8"/>
      <c r="Y7" s="9"/>
      <c r="Z7" s="9"/>
      <c r="AA7" s="10"/>
      <c r="AB7" s="4"/>
      <c r="AC7" s="5"/>
      <c r="AD7" s="11"/>
      <c r="AE7" s="187"/>
      <c r="AF7" s="187"/>
      <c r="AG7" s="187"/>
    </row>
    <row r="8" spans="1:33" ht="21" x14ac:dyDescent="0.4">
      <c r="A8" s="187"/>
      <c r="B8" s="12"/>
      <c r="C8" s="13"/>
      <c r="D8" s="13"/>
      <c r="E8" s="14"/>
      <c r="F8" s="15"/>
      <c r="G8" s="15"/>
      <c r="H8" s="15"/>
      <c r="I8" s="415" t="s">
        <v>0</v>
      </c>
      <c r="J8" s="415"/>
      <c r="K8" s="415"/>
      <c r="L8" s="415"/>
      <c r="M8" s="415"/>
      <c r="N8" s="415"/>
      <c r="O8" s="415"/>
      <c r="P8" s="415"/>
      <c r="Q8" s="15"/>
      <c r="R8" s="15"/>
      <c r="S8" s="15"/>
      <c r="T8" s="15"/>
      <c r="U8" s="15"/>
      <c r="V8" s="16"/>
      <c r="W8" s="15"/>
      <c r="X8" s="17"/>
      <c r="Y8" s="18"/>
      <c r="Z8" s="18"/>
      <c r="AA8" s="19"/>
      <c r="AB8" s="14"/>
      <c r="AC8" s="15"/>
      <c r="AD8" s="20"/>
      <c r="AE8" s="187"/>
      <c r="AF8" s="187"/>
      <c r="AG8" s="187"/>
    </row>
    <row r="9" spans="1:33" ht="18" x14ac:dyDescent="0.35">
      <c r="A9" s="187"/>
      <c r="B9" s="12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21"/>
      <c r="P9" s="15"/>
      <c r="Q9" s="15"/>
      <c r="R9" s="15"/>
      <c r="S9" s="15"/>
      <c r="T9" s="15"/>
      <c r="U9" s="15"/>
      <c r="V9" s="16"/>
      <c r="W9" s="15"/>
      <c r="X9" s="17"/>
      <c r="Y9" s="18"/>
      <c r="Z9" s="18"/>
      <c r="AA9" s="19"/>
      <c r="AB9" s="14"/>
      <c r="AC9" s="15"/>
      <c r="AD9" s="20"/>
      <c r="AE9" s="187"/>
      <c r="AF9" s="187"/>
      <c r="AG9" s="187"/>
    </row>
    <row r="10" spans="1:33" ht="18" x14ac:dyDescent="0.35">
      <c r="A10" s="187"/>
      <c r="B10" s="12"/>
      <c r="C10" s="398" t="s">
        <v>1</v>
      </c>
      <c r="D10" s="398"/>
      <c r="E10" s="398"/>
      <c r="F10" s="398"/>
      <c r="G10" s="398"/>
      <c r="H10" s="15"/>
      <c r="I10" s="15"/>
      <c r="J10" s="15"/>
      <c r="K10" s="1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6"/>
      <c r="W10" s="15"/>
      <c r="X10" s="17"/>
      <c r="Y10" s="18"/>
      <c r="Z10" s="18"/>
      <c r="AA10" s="19"/>
      <c r="AB10" s="14"/>
      <c r="AC10" s="15"/>
      <c r="AD10" s="20"/>
      <c r="AE10" s="187"/>
      <c r="AF10" s="187"/>
      <c r="AG10" s="187"/>
    </row>
    <row r="11" spans="1:33" ht="20.399999999999999" x14ac:dyDescent="0.3">
      <c r="A11" s="203"/>
      <c r="B11" s="22"/>
      <c r="C11" s="419" t="s">
        <v>2</v>
      </c>
      <c r="D11" s="420"/>
      <c r="E11" s="421"/>
      <c r="F11" s="422" t="s">
        <v>3</v>
      </c>
      <c r="G11" s="423"/>
      <c r="H11" s="23"/>
      <c r="I11" s="419" t="s">
        <v>2</v>
      </c>
      <c r="J11" s="420"/>
      <c r="K11" s="420"/>
      <c r="L11" s="420"/>
      <c r="M11" s="420"/>
      <c r="N11" s="422" t="s">
        <v>136</v>
      </c>
      <c r="O11" s="423"/>
      <c r="P11" s="23"/>
      <c r="Q11" s="419" t="s">
        <v>2</v>
      </c>
      <c r="R11" s="420"/>
      <c r="S11" s="420"/>
      <c r="T11" s="421"/>
      <c r="U11" s="24" t="s">
        <v>136</v>
      </c>
      <c r="V11" s="25"/>
      <c r="W11" s="424" t="s">
        <v>2</v>
      </c>
      <c r="X11" s="424"/>
      <c r="Y11" s="424"/>
      <c r="Z11" s="424"/>
      <c r="AA11" s="424"/>
      <c r="AB11" s="416" t="s">
        <v>136</v>
      </c>
      <c r="AC11" s="416"/>
      <c r="AD11" s="26"/>
      <c r="AE11" s="203"/>
      <c r="AF11" s="203"/>
      <c r="AG11" s="203"/>
    </row>
    <row r="12" spans="1:33" ht="18" x14ac:dyDescent="0.3">
      <c r="A12" s="203"/>
      <c r="B12" s="22"/>
      <c r="C12" s="403" t="s">
        <v>4</v>
      </c>
      <c r="D12" s="404"/>
      <c r="E12" s="405"/>
      <c r="F12" s="399">
        <f>N12+U12+AB12</f>
        <v>1140000</v>
      </c>
      <c r="G12" s="400"/>
      <c r="H12" s="23"/>
      <c r="I12" s="406" t="s">
        <v>5</v>
      </c>
      <c r="J12" s="407"/>
      <c r="K12" s="407"/>
      <c r="L12" s="407"/>
      <c r="M12" s="408"/>
      <c r="N12" s="409">
        <v>800000</v>
      </c>
      <c r="O12" s="410"/>
      <c r="P12" s="23"/>
      <c r="Q12" s="406" t="s">
        <v>6</v>
      </c>
      <c r="R12" s="407"/>
      <c r="S12" s="407"/>
      <c r="T12" s="408"/>
      <c r="U12" s="27">
        <v>300000</v>
      </c>
      <c r="V12" s="25"/>
      <c r="W12" s="417" t="s">
        <v>7</v>
      </c>
      <c r="X12" s="417"/>
      <c r="Y12" s="417"/>
      <c r="Z12" s="417"/>
      <c r="AA12" s="417"/>
      <c r="AB12" s="418">
        <v>40000</v>
      </c>
      <c r="AC12" s="418"/>
      <c r="AD12" s="26"/>
      <c r="AE12" s="203"/>
      <c r="AF12" s="203"/>
      <c r="AG12" s="203"/>
    </row>
    <row r="13" spans="1:33" ht="10.199999999999999" customHeight="1" x14ac:dyDescent="0.3">
      <c r="A13" s="203"/>
      <c r="B13" s="22"/>
      <c r="C13" s="179"/>
      <c r="D13" s="180"/>
      <c r="E13" s="181"/>
      <c r="F13" s="175"/>
      <c r="G13" s="176"/>
      <c r="H13" s="23"/>
      <c r="I13" s="182"/>
      <c r="J13" s="183"/>
      <c r="K13" s="183"/>
      <c r="L13" s="183"/>
      <c r="M13" s="184"/>
      <c r="N13" s="185"/>
      <c r="O13" s="186"/>
      <c r="P13" s="23"/>
      <c r="Q13" s="182"/>
      <c r="R13" s="183"/>
      <c r="S13" s="183"/>
      <c r="T13" s="184"/>
      <c r="U13" s="27"/>
      <c r="V13" s="25"/>
      <c r="W13" s="182"/>
      <c r="X13" s="183"/>
      <c r="Y13" s="183"/>
      <c r="Z13" s="183"/>
      <c r="AA13" s="184"/>
      <c r="AB13" s="177"/>
      <c r="AC13" s="178"/>
      <c r="AD13" s="26"/>
      <c r="AE13" s="203"/>
      <c r="AF13" s="203"/>
      <c r="AG13" s="203"/>
    </row>
    <row r="14" spans="1:33" ht="15.6" x14ac:dyDescent="0.3">
      <c r="A14" s="203"/>
      <c r="B14" s="22"/>
      <c r="C14" s="28" t="s">
        <v>8</v>
      </c>
      <c r="D14" s="29"/>
      <c r="E14" s="30"/>
      <c r="F14" s="399">
        <f>N14+U14+AB14</f>
        <v>80000</v>
      </c>
      <c r="G14" s="400"/>
      <c r="H14" s="23"/>
      <c r="I14" s="31" t="s">
        <v>8</v>
      </c>
      <c r="J14" s="32"/>
      <c r="K14" s="32"/>
      <c r="L14" s="32"/>
      <c r="M14" s="33"/>
      <c r="N14" s="401">
        <v>80000</v>
      </c>
      <c r="O14" s="402"/>
      <c r="P14" s="23"/>
      <c r="Q14" s="28" t="s">
        <v>8</v>
      </c>
      <c r="R14" s="34"/>
      <c r="S14" s="34"/>
      <c r="T14" s="35"/>
      <c r="U14" s="36"/>
      <c r="V14" s="25"/>
      <c r="W14" s="28" t="s">
        <v>8</v>
      </c>
      <c r="X14" s="34"/>
      <c r="Y14" s="34"/>
      <c r="Z14" s="34"/>
      <c r="AA14" s="35"/>
      <c r="AB14" s="401"/>
      <c r="AC14" s="402"/>
      <c r="AD14" s="26"/>
      <c r="AE14" s="203"/>
      <c r="AF14" s="203"/>
      <c r="AG14" s="203"/>
    </row>
    <row r="15" spans="1:33" ht="15.6" x14ac:dyDescent="0.3">
      <c r="A15" s="203"/>
      <c r="B15" s="22"/>
      <c r="C15" s="28" t="s">
        <v>162</v>
      </c>
      <c r="D15" s="29"/>
      <c r="E15" s="30"/>
      <c r="F15" s="399">
        <f>N15+U15+AB15</f>
        <v>150000</v>
      </c>
      <c r="G15" s="400"/>
      <c r="H15" s="23"/>
      <c r="I15" s="31" t="s">
        <v>163</v>
      </c>
      <c r="J15" s="32"/>
      <c r="K15" s="32"/>
      <c r="L15" s="32"/>
      <c r="M15" s="33"/>
      <c r="N15" s="401">
        <v>150000</v>
      </c>
      <c r="O15" s="402"/>
      <c r="P15" s="23"/>
      <c r="Q15" s="28" t="s">
        <v>163</v>
      </c>
      <c r="R15" s="34"/>
      <c r="S15" s="34"/>
      <c r="T15" s="35"/>
      <c r="U15" s="138"/>
      <c r="V15" s="25"/>
      <c r="W15" s="28" t="s">
        <v>53</v>
      </c>
      <c r="X15" s="34"/>
      <c r="Y15" s="34"/>
      <c r="Z15" s="34"/>
      <c r="AA15" s="35"/>
      <c r="AB15" s="401"/>
      <c r="AC15" s="402"/>
      <c r="AD15" s="26"/>
      <c r="AE15" s="203"/>
      <c r="AF15" s="203"/>
      <c r="AG15" s="203"/>
    </row>
    <row r="16" spans="1:33" ht="15.6" x14ac:dyDescent="0.3">
      <c r="A16" s="203"/>
      <c r="B16" s="22"/>
      <c r="C16" s="37" t="s">
        <v>9</v>
      </c>
      <c r="D16" s="38"/>
      <c r="E16" s="38"/>
      <c r="F16" s="39"/>
      <c r="G16" s="39"/>
      <c r="H16" s="23"/>
      <c r="I16" s="37" t="s">
        <v>54</v>
      </c>
      <c r="J16" s="40"/>
      <c r="K16" s="40"/>
      <c r="L16" s="40"/>
      <c r="M16" s="40"/>
      <c r="N16" s="41"/>
      <c r="O16" s="41"/>
      <c r="P16" s="23"/>
      <c r="Q16" s="37" t="s">
        <v>54</v>
      </c>
      <c r="R16" s="42"/>
      <c r="S16" s="42"/>
      <c r="T16" s="42"/>
      <c r="U16" s="41"/>
      <c r="V16" s="25"/>
      <c r="W16" s="37" t="s">
        <v>54</v>
      </c>
      <c r="X16" s="42"/>
      <c r="Y16" s="42"/>
      <c r="Z16" s="42"/>
      <c r="AA16" s="42"/>
      <c r="AB16" s="41"/>
      <c r="AC16" s="41"/>
      <c r="AD16" s="26"/>
      <c r="AE16" s="203"/>
      <c r="AF16" s="203"/>
      <c r="AG16" s="203"/>
    </row>
    <row r="17" spans="1:33" x14ac:dyDescent="0.3">
      <c r="A17" s="187"/>
      <c r="B17" s="1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43"/>
      <c r="S17" s="43"/>
      <c r="T17" s="15"/>
      <c r="U17" s="15"/>
      <c r="V17" s="15"/>
      <c r="W17" s="15"/>
      <c r="X17" s="15"/>
      <c r="Y17" s="15"/>
      <c r="Z17" s="15"/>
      <c r="AA17" s="15"/>
      <c r="AB17" s="43"/>
      <c r="AC17" s="43"/>
      <c r="AD17" s="20"/>
      <c r="AE17" s="187"/>
      <c r="AF17" s="187"/>
      <c r="AG17" s="187"/>
    </row>
    <row r="18" spans="1:33" ht="15.6" x14ac:dyDescent="0.3">
      <c r="A18" s="20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6"/>
      <c r="AE18" s="204"/>
      <c r="AF18" s="204"/>
      <c r="AG18" s="204"/>
    </row>
    <row r="19" spans="1:33" ht="15.6" x14ac:dyDescent="0.3">
      <c r="A19" s="204"/>
      <c r="B19" s="44"/>
      <c r="C19" s="391" t="s">
        <v>12</v>
      </c>
      <c r="D19" s="392"/>
      <c r="E19" s="392"/>
      <c r="F19" s="393">
        <f>SUM(F12:G15)-SUM(F17:G17)</f>
        <v>1370000</v>
      </c>
      <c r="G19" s="394"/>
      <c r="H19" s="45"/>
      <c r="I19" s="47" t="s">
        <v>13</v>
      </c>
      <c r="J19" s="48"/>
      <c r="K19" s="48"/>
      <c r="L19" s="48"/>
      <c r="M19" s="48"/>
      <c r="N19" s="395">
        <f>N12+N14+N15-SUM(N17:O17)</f>
        <v>1030000</v>
      </c>
      <c r="O19" s="396"/>
      <c r="P19" s="49"/>
      <c r="Q19" s="47" t="s">
        <v>13</v>
      </c>
      <c r="R19" s="48"/>
      <c r="S19" s="48"/>
      <c r="T19" s="50"/>
      <c r="U19" s="51">
        <f>SUM(U12+U14+U15-SUM(U17:U17))</f>
        <v>300000</v>
      </c>
      <c r="V19" s="45"/>
      <c r="W19" s="47" t="s">
        <v>13</v>
      </c>
      <c r="X19" s="52"/>
      <c r="Y19" s="52"/>
      <c r="Z19" s="52"/>
      <c r="AA19" s="53"/>
      <c r="AB19" s="425">
        <f>SUM(AB12+AB14+AB15-SUM(AB17:AC17))</f>
        <v>40000</v>
      </c>
      <c r="AC19" s="426"/>
      <c r="AD19" s="46"/>
      <c r="AE19" s="204"/>
      <c r="AF19" s="204"/>
      <c r="AG19" s="204"/>
    </row>
    <row r="20" spans="1:33" ht="15.6" x14ac:dyDescent="0.3">
      <c r="A20" s="20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6"/>
      <c r="AE20" s="204"/>
      <c r="AF20" s="204"/>
      <c r="AG20" s="204"/>
    </row>
    <row r="21" spans="1:33" ht="15.6" x14ac:dyDescent="0.3">
      <c r="A21" s="204"/>
      <c r="B21" s="54"/>
      <c r="C21" s="55"/>
      <c r="D21" s="56"/>
      <c r="E21" s="57"/>
      <c r="F21" s="57"/>
      <c r="G21" s="57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7"/>
      <c r="T21" s="57"/>
      <c r="U21" s="58"/>
      <c r="V21" s="57"/>
      <c r="W21" s="59"/>
      <c r="X21" s="57"/>
      <c r="Y21" s="60"/>
      <c r="Z21" s="60"/>
      <c r="AA21" s="61"/>
      <c r="AB21" s="436"/>
      <c r="AC21" s="436"/>
      <c r="AD21" s="62"/>
      <c r="AE21" s="204"/>
      <c r="AF21" s="204"/>
      <c r="AG21" s="204"/>
    </row>
    <row r="22" spans="1:33" ht="15.6" x14ac:dyDescent="0.3">
      <c r="A22" s="204"/>
      <c r="B22" s="204"/>
      <c r="C22" s="249"/>
      <c r="D22" s="204"/>
      <c r="E22" s="207"/>
      <c r="F22" s="207"/>
      <c r="G22" s="207"/>
      <c r="H22" s="204"/>
      <c r="I22" s="204"/>
      <c r="J22" s="204"/>
      <c r="K22" s="204"/>
      <c r="L22" s="204"/>
      <c r="M22" s="204"/>
      <c r="N22" s="204"/>
      <c r="O22" s="204"/>
      <c r="P22" s="206"/>
      <c r="Q22" s="204"/>
      <c r="R22" s="204"/>
      <c r="S22" s="207"/>
      <c r="T22" s="207"/>
      <c r="U22" s="204"/>
      <c r="V22" s="204"/>
      <c r="W22" s="204"/>
      <c r="X22" s="204"/>
      <c r="Y22" s="204"/>
      <c r="Z22" s="204"/>
      <c r="AA22" s="206"/>
      <c r="AB22" s="206"/>
      <c r="AC22" s="204"/>
      <c r="AD22" s="207"/>
      <c r="AE22" s="204"/>
      <c r="AF22" s="204"/>
      <c r="AG22" s="204"/>
    </row>
    <row r="23" spans="1:33" ht="15.6" x14ac:dyDescent="0.3">
      <c r="A23" s="204"/>
      <c r="B23" s="63"/>
      <c r="C23" s="64"/>
      <c r="D23" s="65"/>
      <c r="E23" s="66"/>
      <c r="F23" s="66"/>
      <c r="G23" s="66"/>
      <c r="H23" s="65"/>
      <c r="I23" s="65"/>
      <c r="J23" s="65"/>
      <c r="K23" s="65"/>
      <c r="L23" s="65"/>
      <c r="M23" s="65"/>
      <c r="N23" s="65"/>
      <c r="O23" s="65"/>
      <c r="P23" s="67"/>
      <c r="Q23" s="65"/>
      <c r="R23" s="65"/>
      <c r="S23" s="66"/>
      <c r="T23" s="66"/>
      <c r="U23" s="65"/>
      <c r="V23" s="68"/>
      <c r="W23" s="204"/>
      <c r="X23" s="204"/>
      <c r="Y23" s="204"/>
      <c r="Z23" s="204"/>
      <c r="AA23" s="206"/>
      <c r="AB23" s="206"/>
      <c r="AC23" s="204"/>
      <c r="AD23" s="207"/>
      <c r="AE23" s="204"/>
      <c r="AF23" s="204"/>
      <c r="AG23" s="204"/>
    </row>
    <row r="24" spans="1:33" ht="21" x14ac:dyDescent="0.4">
      <c r="A24" s="204"/>
      <c r="B24" s="69"/>
      <c r="C24" s="70"/>
      <c r="D24" s="71"/>
      <c r="E24" s="72"/>
      <c r="F24" s="72"/>
      <c r="G24" s="72"/>
      <c r="H24" s="71"/>
      <c r="I24" s="437" t="s">
        <v>14</v>
      </c>
      <c r="J24" s="437"/>
      <c r="K24" s="437"/>
      <c r="L24" s="437"/>
      <c r="M24" s="437"/>
      <c r="N24" s="437"/>
      <c r="O24" s="437"/>
      <c r="P24" s="437"/>
      <c r="Q24" s="71"/>
      <c r="R24" s="71"/>
      <c r="S24" s="72"/>
      <c r="T24" s="72"/>
      <c r="U24" s="71"/>
      <c r="V24" s="73"/>
      <c r="W24" s="204"/>
      <c r="X24" s="204"/>
      <c r="Y24" s="204"/>
      <c r="Z24" s="204"/>
      <c r="AA24" s="206"/>
      <c r="AB24" s="206"/>
      <c r="AC24" s="204"/>
      <c r="AD24" s="207"/>
      <c r="AE24" s="204"/>
      <c r="AF24" s="204"/>
      <c r="AG24" s="204"/>
    </row>
    <row r="25" spans="1:33" ht="15.6" x14ac:dyDescent="0.3">
      <c r="A25" s="204"/>
      <c r="B25" s="69"/>
      <c r="C25" s="70"/>
      <c r="D25" s="71"/>
      <c r="E25" s="72"/>
      <c r="F25" s="72"/>
      <c r="G25" s="72"/>
      <c r="H25" s="71"/>
      <c r="I25" s="71"/>
      <c r="J25" s="71"/>
      <c r="K25" s="71"/>
      <c r="L25" s="71"/>
      <c r="M25" s="71"/>
      <c r="N25" s="71"/>
      <c r="O25" s="71"/>
      <c r="P25" s="74"/>
      <c r="Q25" s="71"/>
      <c r="R25" s="71"/>
      <c r="S25" s="72"/>
      <c r="T25" s="72"/>
      <c r="U25" s="71"/>
      <c r="V25" s="73"/>
      <c r="W25" s="204"/>
      <c r="X25" s="204"/>
      <c r="Y25" s="204"/>
      <c r="Z25" s="204"/>
      <c r="AA25" s="206"/>
      <c r="AB25" s="206"/>
      <c r="AC25" s="204"/>
      <c r="AD25" s="207"/>
      <c r="AE25" s="204"/>
      <c r="AF25" s="204"/>
      <c r="AG25" s="204"/>
    </row>
    <row r="26" spans="1:33" ht="15.6" x14ac:dyDescent="0.3">
      <c r="A26" s="204"/>
      <c r="B26" s="69"/>
      <c r="C26" s="438" t="s">
        <v>1</v>
      </c>
      <c r="D26" s="438"/>
      <c r="E26" s="438"/>
      <c r="F26" s="438"/>
      <c r="G26" s="438"/>
      <c r="H26" s="71"/>
      <c r="I26" s="439"/>
      <c r="J26" s="439"/>
      <c r="K26" s="439"/>
      <c r="L26" s="439"/>
      <c r="M26" s="439"/>
      <c r="N26" s="439"/>
      <c r="O26" s="439"/>
      <c r="P26" s="71"/>
      <c r="Q26" s="71"/>
      <c r="R26" s="71"/>
      <c r="S26" s="71"/>
      <c r="T26" s="72"/>
      <c r="U26" s="71"/>
      <c r="V26" s="73"/>
      <c r="W26" s="204"/>
      <c r="X26" s="204"/>
      <c r="Y26" s="204"/>
      <c r="Z26" s="204"/>
      <c r="AA26" s="208"/>
      <c r="AB26" s="208"/>
      <c r="AC26" s="208"/>
      <c r="AD26" s="208"/>
      <c r="AE26" s="204"/>
      <c r="AF26" s="204"/>
      <c r="AG26" s="204"/>
    </row>
    <row r="27" spans="1:33" ht="15.6" x14ac:dyDescent="0.3">
      <c r="A27" s="204"/>
      <c r="B27" s="69"/>
      <c r="C27" s="75"/>
      <c r="D27" s="75"/>
      <c r="E27" s="75"/>
      <c r="F27" s="75"/>
      <c r="G27" s="75"/>
      <c r="H27" s="76"/>
      <c r="I27" s="440" t="s">
        <v>15</v>
      </c>
      <c r="J27" s="440"/>
      <c r="K27" s="440"/>
      <c r="L27" s="440"/>
      <c r="M27" s="440"/>
      <c r="N27" s="440" t="s">
        <v>16</v>
      </c>
      <c r="O27" s="440"/>
      <c r="P27" s="76"/>
      <c r="Q27" s="441" t="s">
        <v>15</v>
      </c>
      <c r="R27" s="442"/>
      <c r="S27" s="442"/>
      <c r="T27" s="443"/>
      <c r="U27" s="77" t="s">
        <v>16</v>
      </c>
      <c r="V27" s="73"/>
      <c r="W27" s="204"/>
      <c r="X27" s="204"/>
      <c r="Y27" s="204"/>
      <c r="Z27" s="204"/>
      <c r="AA27" s="208"/>
      <c r="AB27" s="204"/>
      <c r="AC27" s="204"/>
      <c r="AD27" s="209"/>
      <c r="AE27" s="204"/>
      <c r="AF27" s="204"/>
      <c r="AG27" s="204"/>
    </row>
    <row r="28" spans="1:33" ht="15.6" x14ac:dyDescent="0.3">
      <c r="A28" s="205"/>
      <c r="B28" s="78"/>
      <c r="C28" s="427" t="s">
        <v>17</v>
      </c>
      <c r="D28" s="428"/>
      <c r="E28" s="429"/>
      <c r="F28" s="430">
        <f>SUM(N28,U28)</f>
        <v>250000</v>
      </c>
      <c r="G28" s="430"/>
      <c r="H28" s="79"/>
      <c r="I28" s="431" t="s">
        <v>18</v>
      </c>
      <c r="J28" s="431"/>
      <c r="K28" s="431"/>
      <c r="L28" s="431"/>
      <c r="M28" s="431"/>
      <c r="N28" s="432">
        <v>250000</v>
      </c>
      <c r="O28" s="432"/>
      <c r="P28" s="79"/>
      <c r="Q28" s="433" t="s">
        <v>19</v>
      </c>
      <c r="R28" s="434"/>
      <c r="S28" s="434"/>
      <c r="T28" s="435"/>
      <c r="U28" s="80"/>
      <c r="V28" s="81"/>
      <c r="W28" s="205"/>
      <c r="X28" s="205"/>
      <c r="Y28" s="205"/>
      <c r="Z28" s="205"/>
      <c r="AA28" s="210"/>
      <c r="AB28" s="211"/>
      <c r="AC28" s="212"/>
      <c r="AD28" s="213"/>
      <c r="AE28" s="205"/>
      <c r="AF28" s="205"/>
      <c r="AG28" s="205"/>
    </row>
    <row r="29" spans="1:33" ht="15.6" x14ac:dyDescent="0.3">
      <c r="A29" s="204"/>
      <c r="B29" s="69"/>
      <c r="C29" s="82"/>
      <c r="D29" s="82"/>
      <c r="E29" s="82"/>
      <c r="F29" s="82"/>
      <c r="G29" s="82"/>
      <c r="H29" s="82"/>
      <c r="I29" s="83"/>
      <c r="J29" s="83"/>
      <c r="K29" s="83"/>
      <c r="L29" s="83"/>
      <c r="M29" s="83"/>
      <c r="N29" s="84"/>
      <c r="O29" s="84"/>
      <c r="P29" s="85"/>
      <c r="Q29" s="83"/>
      <c r="R29" s="83"/>
      <c r="S29" s="83"/>
      <c r="T29" s="83"/>
      <c r="U29" s="86"/>
      <c r="V29" s="73"/>
      <c r="W29" s="204"/>
      <c r="X29" s="204"/>
      <c r="Y29" s="204"/>
      <c r="Z29" s="204"/>
      <c r="AA29" s="214"/>
      <c r="AB29" s="208"/>
      <c r="AC29" s="215"/>
      <c r="AD29" s="216"/>
      <c r="AE29" s="204"/>
      <c r="AF29" s="204"/>
      <c r="AG29" s="204"/>
    </row>
    <row r="30" spans="1:33" ht="15.6" x14ac:dyDescent="0.3">
      <c r="A30" s="187"/>
      <c r="B30" s="87"/>
      <c r="C30" s="70"/>
      <c r="D30" s="71"/>
      <c r="E30" s="72"/>
      <c r="F30" s="72"/>
      <c r="G30" s="72"/>
      <c r="H30" s="71"/>
      <c r="I30" s="70"/>
      <c r="J30" s="71"/>
      <c r="K30" s="71"/>
      <c r="L30" s="71"/>
      <c r="M30" s="72"/>
      <c r="N30" s="72"/>
      <c r="O30" s="72"/>
      <c r="P30" s="74"/>
      <c r="Q30" s="70"/>
      <c r="R30" s="70"/>
      <c r="S30" s="71"/>
      <c r="T30" s="72"/>
      <c r="U30" s="89"/>
      <c r="V30" s="88"/>
      <c r="W30" s="187"/>
      <c r="X30" s="187"/>
      <c r="Y30" s="187"/>
      <c r="Z30" s="187"/>
      <c r="AA30" s="217"/>
      <c r="AB30" s="187"/>
      <c r="AC30" s="187"/>
      <c r="AD30" s="218"/>
      <c r="AE30" s="187"/>
      <c r="AF30" s="187"/>
      <c r="AG30" s="187"/>
    </row>
    <row r="31" spans="1:33" ht="15.6" x14ac:dyDescent="0.3">
      <c r="A31" s="187"/>
      <c r="B31" s="87"/>
      <c r="C31" s="445" t="s">
        <v>20</v>
      </c>
      <c r="D31" s="446"/>
      <c r="E31" s="447"/>
      <c r="F31" s="448">
        <f>SUM(F28)</f>
        <v>250000</v>
      </c>
      <c r="G31" s="449"/>
      <c r="H31" s="71"/>
      <c r="I31" s="70"/>
      <c r="J31" s="71"/>
      <c r="K31" s="71"/>
      <c r="L31" s="71"/>
      <c r="M31" s="72"/>
      <c r="N31" s="72"/>
      <c r="O31" s="72"/>
      <c r="P31" s="74"/>
      <c r="Q31" s="70"/>
      <c r="R31" s="70"/>
      <c r="S31" s="71"/>
      <c r="T31" s="72"/>
      <c r="U31" s="72"/>
      <c r="V31" s="88"/>
      <c r="W31" s="187"/>
      <c r="X31" s="187"/>
      <c r="Y31" s="187"/>
      <c r="Z31" s="187"/>
      <c r="AA31" s="217"/>
      <c r="AB31" s="187"/>
      <c r="AC31" s="187"/>
      <c r="AD31" s="218"/>
      <c r="AE31" s="187"/>
      <c r="AF31" s="187"/>
      <c r="AG31" s="187"/>
    </row>
    <row r="32" spans="1:33" x14ac:dyDescent="0.3">
      <c r="A32" s="187"/>
      <c r="B32" s="90"/>
      <c r="C32" s="91"/>
      <c r="D32" s="91"/>
      <c r="E32" s="92"/>
      <c r="F32" s="93"/>
      <c r="G32" s="93"/>
      <c r="H32" s="93"/>
      <c r="I32" s="93"/>
      <c r="J32" s="93"/>
      <c r="K32" s="93"/>
      <c r="L32" s="93"/>
      <c r="M32" s="93"/>
      <c r="N32" s="93"/>
      <c r="O32" s="94"/>
      <c r="P32" s="94"/>
      <c r="Q32" s="93"/>
      <c r="R32" s="93"/>
      <c r="S32" s="95"/>
      <c r="T32" s="95"/>
      <c r="U32" s="96"/>
      <c r="V32" s="97"/>
      <c r="W32" s="187"/>
      <c r="X32" s="192"/>
      <c r="Y32" s="219"/>
      <c r="Z32" s="219"/>
      <c r="AA32" s="220"/>
      <c r="AB32" s="190"/>
      <c r="AC32" s="187"/>
      <c r="AD32" s="187"/>
      <c r="AE32" s="187"/>
      <c r="AF32" s="187"/>
      <c r="AG32" s="187"/>
    </row>
    <row r="33" spans="1:33" x14ac:dyDescent="0.3">
      <c r="A33" s="187"/>
      <c r="B33" s="187"/>
      <c r="C33" s="189"/>
      <c r="D33" s="189"/>
      <c r="E33" s="190"/>
      <c r="F33" s="187"/>
      <c r="G33" s="187"/>
      <c r="H33" s="187"/>
      <c r="I33" s="187"/>
      <c r="J33" s="187"/>
      <c r="K33" s="187"/>
      <c r="L33" s="187"/>
      <c r="M33" s="187"/>
      <c r="N33" s="187"/>
      <c r="O33" s="191"/>
      <c r="P33" s="191"/>
      <c r="Q33" s="187"/>
      <c r="R33" s="187"/>
      <c r="S33" s="192"/>
      <c r="T33" s="192"/>
      <c r="U33" s="195"/>
      <c r="V33" s="221"/>
      <c r="W33" s="187"/>
      <c r="X33" s="192"/>
      <c r="Y33" s="219"/>
      <c r="Z33" s="219"/>
      <c r="AA33" s="220"/>
      <c r="AB33" s="190"/>
      <c r="AC33" s="187"/>
      <c r="AD33" s="187"/>
      <c r="AE33" s="187"/>
      <c r="AF33" s="187"/>
      <c r="AG33" s="187"/>
    </row>
    <row r="34" spans="1:33" x14ac:dyDescent="0.3">
      <c r="A34" s="187"/>
      <c r="B34" s="187"/>
      <c r="C34" s="189"/>
      <c r="D34" s="189"/>
      <c r="E34" s="190"/>
      <c r="F34" s="187"/>
      <c r="G34" s="187"/>
      <c r="H34" s="187"/>
      <c r="I34" s="187"/>
      <c r="J34" s="187"/>
      <c r="K34" s="187"/>
      <c r="L34" s="187"/>
      <c r="M34" s="187"/>
      <c r="N34" s="187"/>
      <c r="O34" s="191"/>
      <c r="P34" s="191"/>
      <c r="Q34" s="187"/>
      <c r="R34" s="187"/>
      <c r="S34" s="192"/>
      <c r="T34" s="192"/>
      <c r="U34" s="195"/>
      <c r="V34" s="221"/>
      <c r="W34" s="187"/>
      <c r="X34" s="192"/>
      <c r="Y34" s="219"/>
      <c r="Z34" s="219"/>
      <c r="AA34" s="220"/>
      <c r="AB34" s="190"/>
      <c r="AC34" s="187"/>
      <c r="AD34" s="187"/>
      <c r="AE34" s="187"/>
      <c r="AF34" s="187"/>
      <c r="AG34" s="187"/>
    </row>
    <row r="35" spans="1:33" x14ac:dyDescent="0.3">
      <c r="A35" s="187"/>
      <c r="B35" s="187"/>
      <c r="C35" s="189"/>
      <c r="D35" s="189"/>
      <c r="E35" s="190"/>
      <c r="F35" s="187"/>
      <c r="G35" s="187"/>
      <c r="H35" s="187"/>
      <c r="I35" s="187"/>
      <c r="J35" s="187"/>
      <c r="K35" s="187"/>
      <c r="L35" s="187"/>
      <c r="M35" s="187"/>
      <c r="N35" s="187"/>
      <c r="O35" s="191"/>
      <c r="P35" s="191"/>
      <c r="Q35" s="187"/>
      <c r="R35" s="187"/>
      <c r="S35" s="192"/>
      <c r="T35" s="192"/>
      <c r="U35" s="195"/>
      <c r="V35" s="221"/>
      <c r="W35" s="187"/>
      <c r="X35" s="192"/>
      <c r="Y35" s="219"/>
      <c r="Z35" s="219"/>
      <c r="AA35" s="220"/>
      <c r="AB35" s="190"/>
      <c r="AC35" s="187"/>
      <c r="AD35" s="187"/>
      <c r="AE35" s="187"/>
      <c r="AF35" s="187"/>
      <c r="AG35" s="187"/>
    </row>
    <row r="36" spans="1:33" x14ac:dyDescent="0.3">
      <c r="A36" s="187"/>
      <c r="B36" s="187"/>
      <c r="C36" s="450" t="s">
        <v>21</v>
      </c>
      <c r="D36" s="451"/>
      <c r="E36" s="452"/>
      <c r="F36" s="187"/>
      <c r="G36" s="245"/>
      <c r="H36" s="245"/>
      <c r="I36" s="246"/>
      <c r="J36" s="246"/>
      <c r="K36" s="246"/>
      <c r="L36" s="223"/>
      <c r="M36" s="222"/>
      <c r="N36" s="222"/>
      <c r="O36" s="247"/>
      <c r="P36" s="247"/>
      <c r="Q36" s="222"/>
      <c r="R36" s="222"/>
      <c r="S36" s="223"/>
      <c r="T36" s="223"/>
      <c r="U36" s="222"/>
      <c r="V36" s="221"/>
      <c r="W36" s="187"/>
      <c r="X36" s="192"/>
      <c r="Y36" s="219"/>
      <c r="Z36" s="219"/>
      <c r="AA36" s="220"/>
      <c r="AB36" s="190"/>
      <c r="AC36" s="187"/>
      <c r="AD36" s="187"/>
      <c r="AE36" s="187"/>
      <c r="AF36" s="187"/>
      <c r="AG36" s="187"/>
    </row>
    <row r="37" spans="1:33" x14ac:dyDescent="0.3">
      <c r="A37" s="187"/>
      <c r="B37" s="187"/>
      <c r="C37" s="98" t="s">
        <v>22</v>
      </c>
      <c r="D37" s="99"/>
      <c r="E37" s="100" t="s">
        <v>10</v>
      </c>
      <c r="F37" s="187"/>
      <c r="G37" s="187"/>
      <c r="H37" s="187"/>
      <c r="I37" s="187"/>
      <c r="J37" s="187"/>
      <c r="K37" s="187"/>
      <c r="L37" s="187"/>
      <c r="M37" s="187"/>
      <c r="N37" s="187"/>
      <c r="O37" s="191"/>
      <c r="P37" s="191"/>
      <c r="Q37" s="187"/>
      <c r="R37" s="187"/>
      <c r="S37" s="192"/>
      <c r="T37" s="192"/>
      <c r="U37" s="187"/>
      <c r="V37" s="221"/>
      <c r="W37" s="187"/>
      <c r="X37" s="192"/>
      <c r="Y37" s="219"/>
      <c r="Z37" s="219"/>
      <c r="AA37" s="220"/>
      <c r="AB37" s="190"/>
      <c r="AC37" s="187"/>
      <c r="AD37" s="187"/>
      <c r="AE37" s="187"/>
      <c r="AF37" s="187"/>
      <c r="AG37" s="187"/>
    </row>
    <row r="38" spans="1:33" x14ac:dyDescent="0.3">
      <c r="A38" s="187"/>
      <c r="B38" s="252"/>
      <c r="C38" s="101"/>
      <c r="D38" s="102"/>
      <c r="E38" s="102"/>
      <c r="F38" s="232"/>
      <c r="G38" s="232"/>
      <c r="H38" s="232"/>
      <c r="I38" s="232"/>
      <c r="J38" s="232"/>
      <c r="K38" s="232"/>
      <c r="L38" s="232"/>
      <c r="M38" s="232"/>
      <c r="N38" s="232"/>
      <c r="O38" s="233"/>
      <c r="P38" s="233"/>
      <c r="Q38" s="232"/>
      <c r="R38" s="232"/>
      <c r="S38" s="234"/>
      <c r="T38" s="234"/>
      <c r="U38" s="232"/>
      <c r="V38" s="235"/>
      <c r="W38" s="187"/>
      <c r="X38" s="192"/>
      <c r="Y38" s="219"/>
      <c r="Z38" s="219"/>
      <c r="AA38" s="220"/>
      <c r="AB38" s="190"/>
      <c r="AC38" s="187"/>
      <c r="AD38" s="187"/>
      <c r="AE38" s="187"/>
      <c r="AF38" s="187"/>
      <c r="AG38" s="187"/>
    </row>
    <row r="39" spans="1:33" x14ac:dyDescent="0.3">
      <c r="A39" s="187"/>
      <c r="B39" s="453">
        <f>SUM(E39:E41)</f>
        <v>0.55230000000000001</v>
      </c>
      <c r="C39" s="103" t="s">
        <v>23</v>
      </c>
      <c r="D39" s="103"/>
      <c r="E39" s="104">
        <f>O39</f>
        <v>0.46706851851851855</v>
      </c>
      <c r="F39" s="187"/>
      <c r="G39" s="187"/>
      <c r="H39" s="187"/>
      <c r="I39" s="187"/>
      <c r="J39" s="187"/>
      <c r="K39" s="187"/>
      <c r="L39" s="187"/>
      <c r="M39" s="187"/>
      <c r="N39" s="187"/>
      <c r="O39" s="191">
        <f>U39/U65</f>
        <v>0.46706851851851855</v>
      </c>
      <c r="P39" s="105" t="s">
        <v>160</v>
      </c>
      <c r="Q39" s="106"/>
      <c r="R39" s="106"/>
      <c r="S39" s="17"/>
      <c r="T39" s="17"/>
      <c r="U39" s="107">
        <f>F19</f>
        <v>1370000</v>
      </c>
      <c r="V39" s="237"/>
      <c r="W39" s="187"/>
      <c r="X39" s="192"/>
      <c r="Y39" s="219"/>
      <c r="Z39" s="219"/>
      <c r="AA39" s="220"/>
      <c r="AB39" s="190"/>
      <c r="AC39" s="187"/>
      <c r="AD39" s="187"/>
      <c r="AE39" s="187"/>
      <c r="AF39" s="187"/>
      <c r="AG39" s="187"/>
    </row>
    <row r="40" spans="1:33" x14ac:dyDescent="0.3">
      <c r="A40" s="187"/>
      <c r="B40" s="454"/>
      <c r="C40" s="103" t="s">
        <v>24</v>
      </c>
      <c r="D40" s="108"/>
      <c r="E40" s="104">
        <f>O40</f>
        <v>8.5231481481481491E-2</v>
      </c>
      <c r="F40" s="187"/>
      <c r="G40" s="187"/>
      <c r="H40" s="187"/>
      <c r="I40" s="187"/>
      <c r="J40" s="187"/>
      <c r="K40" s="187"/>
      <c r="L40" s="187"/>
      <c r="M40" s="187"/>
      <c r="N40" s="187"/>
      <c r="O40" s="248">
        <f>U40/U65</f>
        <v>8.5231481481481491E-2</v>
      </c>
      <c r="P40" s="105" t="s">
        <v>161</v>
      </c>
      <c r="Q40" s="106"/>
      <c r="R40" s="106"/>
      <c r="S40" s="17"/>
      <c r="T40" s="109"/>
      <c r="U40" s="107">
        <f>F31</f>
        <v>250000</v>
      </c>
      <c r="V40" s="237"/>
      <c r="W40" s="187"/>
      <c r="X40" s="192"/>
      <c r="Y40" s="219"/>
      <c r="Z40" s="219"/>
      <c r="AA40" s="220"/>
      <c r="AB40" s="190"/>
      <c r="AC40" s="187"/>
      <c r="AD40" s="187"/>
      <c r="AE40" s="187"/>
      <c r="AF40" s="187"/>
      <c r="AG40" s="187"/>
    </row>
    <row r="41" spans="1:33" x14ac:dyDescent="0.3">
      <c r="A41" s="187"/>
      <c r="B41" s="455"/>
      <c r="C41" s="110"/>
      <c r="D41" s="110"/>
      <c r="E41" s="111"/>
      <c r="F41" s="225"/>
      <c r="G41" s="225"/>
      <c r="H41" s="225"/>
      <c r="I41" s="225"/>
      <c r="J41" s="225"/>
      <c r="K41" s="225"/>
      <c r="L41" s="225"/>
      <c r="M41" s="225"/>
      <c r="N41" s="225"/>
      <c r="O41" s="226"/>
      <c r="P41" s="226"/>
      <c r="Q41" s="225"/>
      <c r="R41" s="225"/>
      <c r="S41" s="227"/>
      <c r="T41" s="227"/>
      <c r="U41" s="225"/>
      <c r="V41" s="228"/>
      <c r="W41" s="187"/>
      <c r="X41" s="192"/>
      <c r="Y41" s="219"/>
      <c r="Z41" s="219"/>
      <c r="AA41" s="220"/>
      <c r="AB41" s="190"/>
      <c r="AC41" s="187"/>
      <c r="AD41" s="187"/>
      <c r="AE41" s="187"/>
      <c r="AF41" s="187"/>
      <c r="AG41" s="187"/>
    </row>
    <row r="42" spans="1:33" x14ac:dyDescent="0.3">
      <c r="A42" s="187"/>
      <c r="B42" s="187"/>
      <c r="C42" s="112"/>
      <c r="D42" s="103"/>
      <c r="E42" s="113"/>
      <c r="F42" s="187"/>
      <c r="G42" s="187"/>
      <c r="H42" s="187"/>
      <c r="I42" s="187"/>
      <c r="J42" s="187"/>
      <c r="K42" s="187"/>
      <c r="L42" s="187"/>
      <c r="M42" s="187"/>
      <c r="N42" s="187"/>
      <c r="O42" s="191"/>
      <c r="P42" s="229" t="s">
        <v>25</v>
      </c>
      <c r="Q42" s="230">
        <f>1-SUM(O43:O62)</f>
        <v>0.55230000000000001</v>
      </c>
      <c r="R42" s="230"/>
      <c r="S42" s="187"/>
      <c r="T42" s="231" t="s">
        <v>26</v>
      </c>
      <c r="U42" s="221">
        <f>SUM(U39:U40)</f>
        <v>1620000</v>
      </c>
      <c r="V42" s="221"/>
      <c r="W42" s="187"/>
      <c r="X42" s="192"/>
      <c r="Y42" s="219"/>
      <c r="Z42" s="219"/>
      <c r="AA42" s="220"/>
      <c r="AB42" s="190"/>
      <c r="AC42" s="187"/>
      <c r="AD42" s="187"/>
      <c r="AE42" s="187"/>
      <c r="AF42" s="187"/>
      <c r="AG42" s="187"/>
    </row>
    <row r="43" spans="1:33" x14ac:dyDescent="0.3">
      <c r="A43" s="187"/>
      <c r="B43" s="187"/>
      <c r="C43" s="112"/>
      <c r="D43" s="103"/>
      <c r="E43" s="113"/>
      <c r="F43" s="187"/>
      <c r="G43" s="187"/>
      <c r="H43" s="187"/>
      <c r="I43" s="187"/>
      <c r="J43" s="187"/>
      <c r="K43" s="187"/>
      <c r="L43" s="187"/>
      <c r="M43" s="187"/>
      <c r="N43" s="187"/>
      <c r="O43" s="191"/>
      <c r="P43" s="191"/>
      <c r="Q43" s="187"/>
      <c r="R43" s="187"/>
      <c r="S43" s="192"/>
      <c r="T43" s="192"/>
      <c r="U43" s="187"/>
      <c r="V43" s="221"/>
      <c r="W43" s="187"/>
      <c r="X43" s="192"/>
      <c r="Y43" s="219"/>
      <c r="Z43" s="219"/>
      <c r="AA43" s="220"/>
      <c r="AB43" s="190"/>
      <c r="AC43" s="187"/>
      <c r="AD43" s="187"/>
      <c r="AE43" s="187"/>
      <c r="AF43" s="187"/>
      <c r="AG43" s="187"/>
    </row>
    <row r="44" spans="1:33" x14ac:dyDescent="0.3">
      <c r="A44" s="187"/>
      <c r="B44" s="252"/>
      <c r="C44" s="114"/>
      <c r="D44" s="114"/>
      <c r="E44" s="115"/>
      <c r="F44" s="232"/>
      <c r="G44" s="232"/>
      <c r="H44" s="232"/>
      <c r="I44" s="232"/>
      <c r="J44" s="232"/>
      <c r="K44" s="232"/>
      <c r="L44" s="232"/>
      <c r="M44" s="232"/>
      <c r="N44" s="232"/>
      <c r="O44" s="233"/>
      <c r="P44" s="233"/>
      <c r="Q44" s="232"/>
      <c r="R44" s="232"/>
      <c r="S44" s="234"/>
      <c r="T44" s="234"/>
      <c r="U44" s="232"/>
      <c r="V44" s="235"/>
      <c r="W44" s="187"/>
      <c r="X44" s="192"/>
      <c r="Y44" s="219"/>
      <c r="Z44" s="219"/>
      <c r="AA44" s="220"/>
      <c r="AB44" s="190"/>
      <c r="AC44" s="187"/>
      <c r="AD44" s="187"/>
      <c r="AE44" s="187"/>
      <c r="AF44" s="187"/>
      <c r="AG44" s="187"/>
    </row>
    <row r="45" spans="1:33" x14ac:dyDescent="0.3">
      <c r="A45" s="187"/>
      <c r="B45" s="459">
        <f>SUM(E45:E48)</f>
        <v>0.22769999999999999</v>
      </c>
      <c r="C45" s="103" t="s">
        <v>27</v>
      </c>
      <c r="D45" s="116"/>
      <c r="E45" s="117">
        <v>6.2199999999999998E-2</v>
      </c>
      <c r="F45" s="187"/>
      <c r="G45" s="187"/>
      <c r="H45" s="187"/>
      <c r="I45" s="187"/>
      <c r="J45" s="187"/>
      <c r="K45" s="187"/>
      <c r="L45" s="187"/>
      <c r="M45" s="187"/>
      <c r="N45" s="187"/>
      <c r="O45" s="191">
        <f>E45</f>
        <v>6.2199999999999998E-2</v>
      </c>
      <c r="P45" s="187" t="s">
        <v>28</v>
      </c>
      <c r="Q45" s="187"/>
      <c r="R45" s="187"/>
      <c r="S45" s="192"/>
      <c r="T45" s="236"/>
      <c r="U45" s="221">
        <f>U65*O45</f>
        <v>182444.32373709939</v>
      </c>
      <c r="V45" s="237"/>
      <c r="W45" s="187"/>
      <c r="X45" s="192"/>
      <c r="Y45" s="219"/>
      <c r="Z45" s="219"/>
      <c r="AA45" s="220"/>
      <c r="AB45" s="190"/>
      <c r="AC45" s="187"/>
      <c r="AD45" s="187"/>
      <c r="AE45" s="187"/>
      <c r="AF45" s="187"/>
      <c r="AG45" s="187"/>
    </row>
    <row r="46" spans="1:33" x14ac:dyDescent="0.3">
      <c r="A46" s="187"/>
      <c r="B46" s="460"/>
      <c r="C46" s="103" t="s">
        <v>29</v>
      </c>
      <c r="D46" s="116"/>
      <c r="E46" s="117">
        <v>0.10489999999999999</v>
      </c>
      <c r="F46" s="187"/>
      <c r="G46" s="187"/>
      <c r="H46" s="187"/>
      <c r="I46" s="187"/>
      <c r="J46" s="187"/>
      <c r="K46" s="187"/>
      <c r="L46" s="187"/>
      <c r="M46" s="187"/>
      <c r="N46" s="187"/>
      <c r="O46" s="191">
        <f>E46</f>
        <v>0.10489999999999999</v>
      </c>
      <c r="P46" s="187" t="s">
        <v>30</v>
      </c>
      <c r="Q46" s="187"/>
      <c r="R46" s="187"/>
      <c r="S46" s="192"/>
      <c r="T46" s="192"/>
      <c r="U46" s="221">
        <f>U65*O46</f>
        <v>307691.47202607273</v>
      </c>
      <c r="V46" s="237"/>
      <c r="W46" s="187"/>
      <c r="X46" s="192"/>
      <c r="Y46" s="219"/>
      <c r="Z46" s="219"/>
      <c r="AA46" s="220"/>
      <c r="AB46" s="190"/>
      <c r="AC46" s="187"/>
      <c r="AD46" s="187"/>
      <c r="AE46" s="187"/>
      <c r="AF46" s="187"/>
      <c r="AG46" s="187"/>
    </row>
    <row r="47" spans="1:33" x14ac:dyDescent="0.3">
      <c r="A47" s="187"/>
      <c r="B47" s="460"/>
      <c r="C47" s="103" t="s">
        <v>31</v>
      </c>
      <c r="D47" s="103"/>
      <c r="E47" s="117">
        <v>0.06</v>
      </c>
      <c r="F47" s="187"/>
      <c r="G47" s="187"/>
      <c r="H47" s="187"/>
      <c r="I47" s="187"/>
      <c r="J47" s="187"/>
      <c r="K47" s="187"/>
      <c r="L47" s="187"/>
      <c r="M47" s="187"/>
      <c r="N47" s="187"/>
      <c r="O47" s="191">
        <f>E47</f>
        <v>0.06</v>
      </c>
      <c r="P47" s="187" t="s">
        <v>32</v>
      </c>
      <c r="Q47" s="187"/>
      <c r="R47" s="187"/>
      <c r="S47" s="192"/>
      <c r="T47" s="192"/>
      <c r="U47" s="221">
        <f>U65*O47</f>
        <v>175991.30907115695</v>
      </c>
      <c r="V47" s="237"/>
      <c r="W47" s="187"/>
      <c r="X47" s="192"/>
      <c r="Y47" s="219"/>
      <c r="Z47" s="219"/>
      <c r="AA47" s="220"/>
      <c r="AB47" s="190"/>
      <c r="AC47" s="187"/>
      <c r="AD47" s="187"/>
      <c r="AE47" s="187"/>
      <c r="AF47" s="187"/>
      <c r="AG47" s="187"/>
    </row>
    <row r="48" spans="1:33" x14ac:dyDescent="0.3">
      <c r="A48" s="187"/>
      <c r="B48" s="460"/>
      <c r="C48" s="103" t="s">
        <v>33</v>
      </c>
      <c r="D48" s="103"/>
      <c r="E48" s="117">
        <v>5.9999999999999995E-4</v>
      </c>
      <c r="F48" s="187"/>
      <c r="G48" s="187"/>
      <c r="H48" s="187"/>
      <c r="I48" s="187"/>
      <c r="J48" s="187"/>
      <c r="K48" s="187"/>
      <c r="L48" s="187"/>
      <c r="M48" s="187"/>
      <c r="N48" s="187"/>
      <c r="O48" s="191">
        <f>E48</f>
        <v>5.9999999999999995E-4</v>
      </c>
      <c r="P48" s="187" t="s">
        <v>34</v>
      </c>
      <c r="Q48" s="187"/>
      <c r="R48" s="187"/>
      <c r="S48" s="192"/>
      <c r="T48" s="192"/>
      <c r="U48" s="221">
        <f>U65*O48</f>
        <v>1759.9130907115696</v>
      </c>
      <c r="V48" s="237"/>
      <c r="W48" s="187"/>
      <c r="X48" s="192"/>
      <c r="Y48" s="219"/>
      <c r="Z48" s="219"/>
      <c r="AA48" s="220"/>
      <c r="AB48" s="190"/>
      <c r="AC48" s="187"/>
      <c r="AD48" s="187"/>
      <c r="AE48" s="187"/>
      <c r="AF48" s="187"/>
      <c r="AG48" s="187"/>
    </row>
    <row r="49" spans="1:33" x14ac:dyDescent="0.3">
      <c r="A49" s="187"/>
      <c r="B49" s="461"/>
      <c r="C49" s="110"/>
      <c r="D49" s="110"/>
      <c r="E49" s="111"/>
      <c r="F49" s="225"/>
      <c r="G49" s="225"/>
      <c r="H49" s="225"/>
      <c r="I49" s="225"/>
      <c r="J49" s="225"/>
      <c r="K49" s="225"/>
      <c r="L49" s="225"/>
      <c r="M49" s="225"/>
      <c r="N49" s="225"/>
      <c r="O49" s="226"/>
      <c r="P49" s="225"/>
      <c r="Q49" s="225"/>
      <c r="R49" s="225"/>
      <c r="S49" s="227"/>
      <c r="T49" s="227"/>
      <c r="U49" s="238"/>
      <c r="V49" s="228"/>
      <c r="W49" s="187"/>
      <c r="X49" s="192"/>
      <c r="Y49" s="219"/>
      <c r="Z49" s="219"/>
      <c r="AA49" s="220"/>
      <c r="AB49" s="190"/>
      <c r="AC49" s="187"/>
      <c r="AD49" s="187"/>
      <c r="AE49" s="187"/>
      <c r="AF49" s="187"/>
      <c r="AG49" s="187"/>
    </row>
    <row r="50" spans="1:33" x14ac:dyDescent="0.3">
      <c r="A50" s="187"/>
      <c r="B50" s="187"/>
      <c r="C50" s="112"/>
      <c r="D50" s="103"/>
      <c r="E50" s="118"/>
      <c r="F50" s="187"/>
      <c r="G50" s="187"/>
      <c r="H50" s="187"/>
      <c r="I50" s="187"/>
      <c r="J50" s="187"/>
      <c r="K50" s="187"/>
      <c r="L50" s="187"/>
      <c r="M50" s="187"/>
      <c r="N50" s="187"/>
      <c r="O50" s="191"/>
      <c r="P50" s="191"/>
      <c r="Q50" s="187"/>
      <c r="R50" s="187"/>
      <c r="S50" s="192"/>
      <c r="T50" s="192"/>
      <c r="U50" s="187"/>
      <c r="V50" s="221"/>
      <c r="W50" s="187"/>
      <c r="X50" s="192"/>
      <c r="Y50" s="219"/>
      <c r="Z50" s="219"/>
      <c r="AA50" s="220"/>
      <c r="AB50" s="190"/>
      <c r="AC50" s="187"/>
      <c r="AD50" s="187"/>
      <c r="AE50" s="187"/>
      <c r="AF50" s="187"/>
      <c r="AG50" s="187"/>
    </row>
    <row r="51" spans="1:33" x14ac:dyDescent="0.3">
      <c r="A51" s="187"/>
      <c r="B51" s="462">
        <f>E52</f>
        <v>0.04</v>
      </c>
      <c r="C51" s="114"/>
      <c r="D51" s="114"/>
      <c r="E51" s="115"/>
      <c r="F51" s="232"/>
      <c r="G51" s="232"/>
      <c r="H51" s="232"/>
      <c r="I51" s="232"/>
      <c r="J51" s="232"/>
      <c r="K51" s="232"/>
      <c r="L51" s="232"/>
      <c r="M51" s="232"/>
      <c r="N51" s="232"/>
      <c r="O51" s="233"/>
      <c r="P51" s="233"/>
      <c r="Q51" s="232"/>
      <c r="R51" s="232"/>
      <c r="S51" s="234"/>
      <c r="T51" s="234"/>
      <c r="U51" s="232"/>
      <c r="V51" s="235"/>
      <c r="W51" s="187"/>
      <c r="X51" s="192"/>
      <c r="Y51" s="219"/>
      <c r="Z51" s="219"/>
      <c r="AA51" s="220"/>
      <c r="AB51" s="190"/>
      <c r="AC51" s="187"/>
      <c r="AD51" s="187"/>
      <c r="AE51" s="187"/>
      <c r="AF51" s="187"/>
      <c r="AG51" s="187"/>
    </row>
    <row r="52" spans="1:33" x14ac:dyDescent="0.3">
      <c r="A52" s="187"/>
      <c r="B52" s="463"/>
      <c r="C52" s="112" t="s">
        <v>35</v>
      </c>
      <c r="D52" s="103"/>
      <c r="E52" s="117">
        <v>0.04</v>
      </c>
      <c r="F52" s="187"/>
      <c r="G52" s="250" t="s">
        <v>36</v>
      </c>
      <c r="H52" s="250" t="s">
        <v>36</v>
      </c>
      <c r="I52" s="250" t="s">
        <v>36</v>
      </c>
      <c r="J52" s="250"/>
      <c r="K52" s="250"/>
      <c r="L52" s="250" t="s">
        <v>36</v>
      </c>
      <c r="M52" s="465" t="s">
        <v>36</v>
      </c>
      <c r="N52" s="465"/>
      <c r="O52" s="239">
        <f>E52</f>
        <v>0.04</v>
      </c>
      <c r="P52" s="222" t="s">
        <v>159</v>
      </c>
      <c r="Q52" s="222"/>
      <c r="R52" s="222"/>
      <c r="S52" s="223"/>
      <c r="T52" s="223"/>
      <c r="U52" s="224">
        <f>U65*O52</f>
        <v>117327.53938077131</v>
      </c>
      <c r="V52" s="237"/>
      <c r="W52" s="187"/>
      <c r="X52" s="192"/>
      <c r="Y52" s="219"/>
      <c r="Z52" s="219"/>
      <c r="AA52" s="220"/>
      <c r="AB52" s="190"/>
      <c r="AC52" s="187"/>
      <c r="AD52" s="187"/>
      <c r="AE52" s="187"/>
      <c r="AF52" s="187"/>
      <c r="AG52" s="187"/>
    </row>
    <row r="53" spans="1:33" x14ac:dyDescent="0.3">
      <c r="A53" s="187"/>
      <c r="B53" s="464"/>
      <c r="C53" s="110"/>
      <c r="D53" s="110"/>
      <c r="E53" s="119"/>
      <c r="F53" s="225"/>
      <c r="G53" s="225"/>
      <c r="H53" s="225"/>
      <c r="I53" s="225"/>
      <c r="J53" s="225"/>
      <c r="K53" s="225"/>
      <c r="L53" s="225"/>
      <c r="M53" s="240"/>
      <c r="N53" s="240"/>
      <c r="O53" s="226"/>
      <c r="P53" s="226"/>
      <c r="Q53" s="225"/>
      <c r="R53" s="225"/>
      <c r="S53" s="227"/>
      <c r="T53" s="227"/>
      <c r="U53" s="225"/>
      <c r="V53" s="228"/>
      <c r="W53" s="187"/>
      <c r="X53" s="192"/>
      <c r="Y53" s="219"/>
      <c r="Z53" s="219"/>
      <c r="AA53" s="220"/>
      <c r="AB53" s="190"/>
      <c r="AC53" s="187"/>
      <c r="AD53" s="187"/>
      <c r="AE53" s="187"/>
      <c r="AF53" s="187"/>
      <c r="AG53" s="187"/>
    </row>
    <row r="54" spans="1:33" x14ac:dyDescent="0.3">
      <c r="A54" s="187"/>
      <c r="B54" s="253"/>
      <c r="C54" s="103"/>
      <c r="D54" s="103"/>
      <c r="E54" s="120"/>
      <c r="F54" s="187"/>
      <c r="G54" s="187"/>
      <c r="H54" s="187"/>
      <c r="I54" s="187"/>
      <c r="J54" s="187"/>
      <c r="K54" s="187"/>
      <c r="L54" s="187"/>
      <c r="M54" s="241"/>
      <c r="N54" s="241"/>
      <c r="O54" s="191"/>
      <c r="P54" s="191"/>
      <c r="Q54" s="187"/>
      <c r="R54" s="187"/>
      <c r="S54" s="192"/>
      <c r="T54" s="192"/>
      <c r="U54" s="187"/>
      <c r="V54" s="221"/>
      <c r="W54" s="187"/>
      <c r="X54" s="192"/>
      <c r="Y54" s="219"/>
      <c r="Z54" s="219"/>
      <c r="AA54" s="220"/>
      <c r="AB54" s="190"/>
      <c r="AC54" s="187"/>
      <c r="AD54" s="187"/>
      <c r="AE54" s="187"/>
      <c r="AF54" s="187"/>
      <c r="AG54" s="187"/>
    </row>
    <row r="55" spans="1:33" x14ac:dyDescent="0.3">
      <c r="A55" s="187"/>
      <c r="B55" s="462">
        <f>SUM(E56)</f>
        <v>0.06</v>
      </c>
      <c r="C55" s="114"/>
      <c r="D55" s="114"/>
      <c r="E55" s="121"/>
      <c r="F55" s="232"/>
      <c r="G55" s="232"/>
      <c r="H55" s="232"/>
      <c r="I55" s="232"/>
      <c r="J55" s="232"/>
      <c r="K55" s="232"/>
      <c r="L55" s="232"/>
      <c r="M55" s="232"/>
      <c r="N55" s="232"/>
      <c r="O55" s="233"/>
      <c r="P55" s="233"/>
      <c r="Q55" s="232"/>
      <c r="R55" s="232"/>
      <c r="S55" s="234"/>
      <c r="T55" s="234"/>
      <c r="U55" s="232"/>
      <c r="V55" s="235"/>
      <c r="W55" s="187"/>
      <c r="X55" s="192"/>
      <c r="Y55" s="219"/>
      <c r="Z55" s="219"/>
      <c r="AA55" s="220"/>
      <c r="AB55" s="190"/>
      <c r="AC55" s="187"/>
      <c r="AD55" s="187"/>
      <c r="AE55" s="187"/>
      <c r="AF55" s="187"/>
      <c r="AG55" s="187"/>
    </row>
    <row r="56" spans="1:33" x14ac:dyDescent="0.3">
      <c r="A56" s="187"/>
      <c r="B56" s="463"/>
      <c r="C56" s="122" t="s">
        <v>37</v>
      </c>
      <c r="D56" s="122"/>
      <c r="E56" s="123">
        <v>0.06</v>
      </c>
      <c r="F56" s="187"/>
      <c r="G56" s="250" t="s">
        <v>36</v>
      </c>
      <c r="H56" s="250" t="s">
        <v>36</v>
      </c>
      <c r="I56" s="250" t="s">
        <v>36</v>
      </c>
      <c r="J56" s="250"/>
      <c r="K56" s="250"/>
      <c r="L56" s="250" t="s">
        <v>36</v>
      </c>
      <c r="M56" s="465" t="s">
        <v>36</v>
      </c>
      <c r="N56" s="465"/>
      <c r="O56" s="239">
        <f>E56</f>
        <v>0.06</v>
      </c>
      <c r="P56" s="222" t="s">
        <v>38</v>
      </c>
      <c r="Q56" s="222"/>
      <c r="R56" s="222"/>
      <c r="S56" s="223"/>
      <c r="T56" s="223"/>
      <c r="U56" s="224">
        <f>U65*O56</f>
        <v>175991.30907115695</v>
      </c>
      <c r="V56" s="237"/>
      <c r="W56" s="187"/>
      <c r="X56" s="444"/>
      <c r="Y56" s="444"/>
      <c r="Z56" s="219"/>
      <c r="AA56" s="220"/>
      <c r="AB56" s="190"/>
      <c r="AC56" s="187"/>
      <c r="AD56" s="187"/>
      <c r="AE56" s="187"/>
      <c r="AF56" s="187"/>
      <c r="AG56" s="187"/>
    </row>
    <row r="57" spans="1:33" x14ac:dyDescent="0.3">
      <c r="A57" s="187"/>
      <c r="B57" s="464"/>
      <c r="C57" s="110"/>
      <c r="D57" s="110"/>
      <c r="E57" s="124"/>
      <c r="F57" s="225"/>
      <c r="G57" s="225"/>
      <c r="H57" s="225"/>
      <c r="I57" s="225"/>
      <c r="J57" s="225"/>
      <c r="K57" s="225"/>
      <c r="L57" s="225"/>
      <c r="M57" s="240"/>
      <c r="N57" s="240"/>
      <c r="O57" s="226"/>
      <c r="P57" s="226"/>
      <c r="Q57" s="225"/>
      <c r="R57" s="225"/>
      <c r="S57" s="227"/>
      <c r="T57" s="227"/>
      <c r="U57" s="225"/>
      <c r="V57" s="228"/>
      <c r="W57" s="187"/>
      <c r="X57" s="192"/>
      <c r="Y57" s="219"/>
      <c r="Z57" s="219"/>
      <c r="AA57" s="220"/>
      <c r="AB57" s="190"/>
      <c r="AC57" s="187"/>
      <c r="AD57" s="187"/>
      <c r="AE57" s="187"/>
      <c r="AF57" s="187"/>
      <c r="AG57" s="187"/>
    </row>
    <row r="58" spans="1:33" x14ac:dyDescent="0.3">
      <c r="A58" s="187"/>
      <c r="B58" s="187"/>
      <c r="C58" s="112"/>
      <c r="D58" s="103"/>
      <c r="E58" s="113"/>
      <c r="F58" s="187"/>
      <c r="G58" s="187"/>
      <c r="H58" s="187"/>
      <c r="I58" s="187"/>
      <c r="J58" s="187"/>
      <c r="K58" s="187"/>
      <c r="L58" s="187"/>
      <c r="M58" s="241"/>
      <c r="N58" s="241"/>
      <c r="O58" s="191"/>
      <c r="P58" s="191"/>
      <c r="Q58" s="187"/>
      <c r="R58" s="187"/>
      <c r="S58" s="192"/>
      <c r="T58" s="192"/>
      <c r="U58" s="187"/>
      <c r="V58" s="221"/>
      <c r="W58" s="187"/>
      <c r="X58" s="192"/>
      <c r="Y58" s="219"/>
      <c r="Z58" s="219"/>
      <c r="AA58" s="220"/>
      <c r="AB58" s="190"/>
      <c r="AC58" s="187"/>
      <c r="AD58" s="187"/>
      <c r="AE58" s="187"/>
      <c r="AF58" s="187"/>
      <c r="AG58" s="187"/>
    </row>
    <row r="59" spans="1:33" x14ac:dyDescent="0.3">
      <c r="A59" s="187"/>
      <c r="B59" s="456">
        <f>SUM(E60)</f>
        <v>0.12</v>
      </c>
      <c r="C59" s="114"/>
      <c r="D59" s="114"/>
      <c r="E59" s="115"/>
      <c r="F59" s="232"/>
      <c r="G59" s="232"/>
      <c r="H59" s="232"/>
      <c r="I59" s="232"/>
      <c r="J59" s="232"/>
      <c r="K59" s="232"/>
      <c r="L59" s="232"/>
      <c r="M59" s="242"/>
      <c r="N59" s="242"/>
      <c r="O59" s="233"/>
      <c r="P59" s="233"/>
      <c r="Q59" s="232"/>
      <c r="R59" s="232"/>
      <c r="S59" s="234"/>
      <c r="T59" s="234"/>
      <c r="U59" s="232"/>
      <c r="V59" s="235"/>
      <c r="W59" s="187"/>
      <c r="X59" s="192"/>
      <c r="Y59" s="219"/>
      <c r="Z59" s="219"/>
      <c r="AA59" s="220"/>
      <c r="AB59" s="190"/>
      <c r="AC59" s="187"/>
      <c r="AD59" s="187"/>
      <c r="AE59" s="187"/>
      <c r="AF59" s="187"/>
      <c r="AG59" s="187"/>
    </row>
    <row r="60" spans="1:33" x14ac:dyDescent="0.3">
      <c r="A60" s="187"/>
      <c r="B60" s="457"/>
      <c r="C60" s="122" t="s">
        <v>39</v>
      </c>
      <c r="D60" s="125"/>
      <c r="E60" s="126">
        <v>0.12</v>
      </c>
      <c r="F60" s="187"/>
      <c r="G60" s="250" t="s">
        <v>36</v>
      </c>
      <c r="H60" s="250" t="s">
        <v>36</v>
      </c>
      <c r="I60" s="250" t="s">
        <v>36</v>
      </c>
      <c r="J60" s="250"/>
      <c r="K60" s="250"/>
      <c r="L60" s="250" t="s">
        <v>36</v>
      </c>
      <c r="M60" s="243" t="s">
        <v>36</v>
      </c>
      <c r="N60" s="243"/>
      <c r="O60" s="244">
        <f>E60</f>
        <v>0.12</v>
      </c>
      <c r="P60" s="187" t="s">
        <v>40</v>
      </c>
      <c r="Q60" s="187"/>
      <c r="R60" s="187"/>
      <c r="S60" s="192"/>
      <c r="T60" s="192"/>
      <c r="U60" s="221">
        <f>U65*O60</f>
        <v>351982.61814231391</v>
      </c>
      <c r="V60" s="237"/>
      <c r="W60" s="187"/>
      <c r="X60" s="192"/>
      <c r="Y60" s="219"/>
      <c r="Z60" s="219"/>
      <c r="AA60" s="220"/>
      <c r="AB60" s="190"/>
      <c r="AC60" s="187"/>
      <c r="AD60" s="187"/>
      <c r="AE60" s="187"/>
      <c r="AF60" s="187"/>
      <c r="AG60" s="187"/>
    </row>
    <row r="61" spans="1:33" x14ac:dyDescent="0.3">
      <c r="A61" s="187"/>
      <c r="B61" s="458"/>
      <c r="C61" s="110"/>
      <c r="D61" s="110"/>
      <c r="E61" s="111"/>
      <c r="F61" s="225"/>
      <c r="G61" s="225"/>
      <c r="H61" s="225"/>
      <c r="I61" s="225"/>
      <c r="J61" s="225"/>
      <c r="K61" s="225"/>
      <c r="L61" s="225"/>
      <c r="M61" s="240"/>
      <c r="N61" s="240"/>
      <c r="O61" s="226"/>
      <c r="P61" s="226"/>
      <c r="Q61" s="225"/>
      <c r="R61" s="225"/>
      <c r="S61" s="227"/>
      <c r="T61" s="227"/>
      <c r="U61" s="225"/>
      <c r="V61" s="228"/>
      <c r="W61" s="187"/>
      <c r="X61" s="192"/>
      <c r="Y61" s="219"/>
      <c r="Z61" s="219"/>
      <c r="AA61" s="220"/>
      <c r="AB61" s="190"/>
      <c r="AC61" s="187"/>
      <c r="AD61" s="187"/>
      <c r="AE61" s="187"/>
      <c r="AF61" s="187"/>
      <c r="AG61" s="187"/>
    </row>
    <row r="62" spans="1:33" x14ac:dyDescent="0.3">
      <c r="A62" s="187"/>
      <c r="B62" s="187"/>
      <c r="C62" s="189"/>
      <c r="D62" s="189"/>
      <c r="E62" s="251"/>
      <c r="F62" s="187"/>
      <c r="G62" s="187"/>
      <c r="H62" s="187"/>
      <c r="I62" s="187"/>
      <c r="J62" s="187"/>
      <c r="K62" s="187"/>
      <c r="L62" s="187"/>
      <c r="M62" s="187"/>
      <c r="N62" s="187"/>
      <c r="O62" s="191"/>
      <c r="P62" s="191"/>
      <c r="Q62" s="187"/>
      <c r="R62" s="187"/>
      <c r="S62" s="192"/>
      <c r="T62" s="192"/>
      <c r="U62" s="187"/>
      <c r="V62" s="221"/>
      <c r="W62" s="187"/>
      <c r="X62" s="192"/>
      <c r="Y62" s="219"/>
      <c r="Z62" s="219"/>
      <c r="AA62" s="220"/>
      <c r="AB62" s="190"/>
      <c r="AC62" s="187"/>
      <c r="AD62" s="187"/>
      <c r="AE62" s="187"/>
      <c r="AF62" s="187"/>
      <c r="AG62" s="187"/>
    </row>
    <row r="63" spans="1:33" x14ac:dyDescent="0.3">
      <c r="A63" s="187"/>
      <c r="B63" s="187"/>
      <c r="C63" s="189"/>
      <c r="D63" s="189"/>
      <c r="E63" s="190"/>
      <c r="F63" s="187"/>
      <c r="G63" s="187"/>
      <c r="H63" s="187"/>
      <c r="I63" s="187"/>
      <c r="J63" s="187"/>
      <c r="K63" s="187"/>
      <c r="L63" s="187"/>
      <c r="M63" s="187"/>
      <c r="N63" s="187"/>
      <c r="O63" s="191"/>
      <c r="P63" s="191"/>
      <c r="Q63" s="187"/>
      <c r="R63" s="187"/>
      <c r="S63" s="192"/>
      <c r="T63" s="192"/>
      <c r="U63" s="187"/>
      <c r="V63" s="221"/>
      <c r="W63" s="187"/>
      <c r="X63" s="192"/>
      <c r="Y63" s="219"/>
      <c r="Z63" s="219"/>
      <c r="AA63" s="220"/>
      <c r="AB63" s="190"/>
      <c r="AC63" s="187"/>
      <c r="AD63" s="187"/>
      <c r="AE63" s="187"/>
      <c r="AF63" s="187"/>
      <c r="AG63" s="187"/>
    </row>
    <row r="64" spans="1:33" x14ac:dyDescent="0.3">
      <c r="A64" s="187"/>
      <c r="B64" s="187"/>
      <c r="C64" s="189"/>
      <c r="D64" s="189"/>
      <c r="E64" s="190"/>
      <c r="F64" s="187"/>
      <c r="G64" s="187"/>
      <c r="H64" s="187"/>
      <c r="I64" s="187"/>
      <c r="J64" s="187"/>
      <c r="K64" s="187"/>
      <c r="L64" s="187"/>
      <c r="M64" s="187"/>
      <c r="N64" s="187"/>
      <c r="O64" s="191"/>
      <c r="P64" s="191"/>
      <c r="Q64" s="187"/>
      <c r="R64" s="187"/>
      <c r="S64" s="192"/>
      <c r="T64" s="192"/>
      <c r="U64" s="187"/>
      <c r="V64" s="221"/>
      <c r="W64" s="187"/>
      <c r="X64" s="192"/>
      <c r="Y64" s="219"/>
      <c r="Z64" s="219"/>
      <c r="AA64" s="220"/>
      <c r="AB64" s="190"/>
      <c r="AC64" s="187"/>
      <c r="AD64" s="187"/>
      <c r="AE64" s="187"/>
      <c r="AF64" s="187"/>
      <c r="AG64" s="187"/>
    </row>
    <row r="65" spans="1:33" ht="73.8" customHeight="1" x14ac:dyDescent="0.3">
      <c r="A65" s="140"/>
      <c r="B65" s="140"/>
      <c r="C65" s="141"/>
      <c r="D65" s="141"/>
      <c r="E65" s="142"/>
      <c r="F65" s="140"/>
      <c r="G65" s="140"/>
      <c r="H65" s="140"/>
      <c r="I65" s="140"/>
      <c r="J65" s="140"/>
      <c r="K65" s="140"/>
      <c r="L65" s="140"/>
      <c r="M65" s="140"/>
      <c r="N65" s="387"/>
      <c r="O65" s="388">
        <f>SUM(O39:O62)</f>
        <v>1</v>
      </c>
      <c r="P65" s="397" t="s">
        <v>164</v>
      </c>
      <c r="Q65" s="397"/>
      <c r="R65" s="397"/>
      <c r="S65" s="397"/>
      <c r="T65" s="397"/>
      <c r="U65" s="389">
        <f>U42/Q42</f>
        <v>2933188.4845192828</v>
      </c>
      <c r="V65" s="143"/>
      <c r="W65" s="143"/>
      <c r="X65" s="143"/>
      <c r="Y65" s="143"/>
      <c r="Z65" s="143"/>
      <c r="AA65" s="143"/>
      <c r="AB65" s="142"/>
      <c r="AC65" s="1"/>
      <c r="AD65" s="1"/>
      <c r="AE65" s="1"/>
      <c r="AF65" s="1"/>
      <c r="AG65" s="1"/>
    </row>
    <row r="66" spans="1:33" x14ac:dyDescent="0.3">
      <c r="A66" s="187"/>
      <c r="B66" s="187"/>
      <c r="C66" s="189"/>
      <c r="D66" s="189"/>
      <c r="E66" s="190"/>
      <c r="F66" s="187"/>
      <c r="G66" s="187"/>
      <c r="H66" s="187"/>
      <c r="I66" s="187"/>
      <c r="J66" s="187"/>
      <c r="K66" s="187"/>
      <c r="L66" s="187"/>
      <c r="M66" s="250"/>
      <c r="N66" s="250"/>
      <c r="O66" s="187"/>
      <c r="P66" s="187"/>
      <c r="Q66" s="187"/>
      <c r="R66" s="187"/>
      <c r="S66" s="187"/>
      <c r="T66" s="187"/>
      <c r="U66" s="187"/>
      <c r="V66" s="221"/>
      <c r="W66" s="187"/>
      <c r="X66" s="192"/>
      <c r="Y66" s="219"/>
      <c r="Z66" s="219"/>
      <c r="AA66" s="220"/>
      <c r="AB66" s="190"/>
      <c r="AC66" s="187"/>
      <c r="AD66" s="187"/>
      <c r="AE66" s="187"/>
      <c r="AF66" s="187"/>
      <c r="AG66" s="187"/>
    </row>
    <row r="67" spans="1:33" x14ac:dyDescent="0.3">
      <c r="A67" s="187"/>
      <c r="B67" s="187"/>
      <c r="C67" s="189"/>
      <c r="D67" s="189"/>
      <c r="E67" s="190"/>
      <c r="F67" s="187"/>
      <c r="G67" s="187"/>
      <c r="H67" s="187"/>
      <c r="I67" s="187"/>
      <c r="J67" s="187"/>
      <c r="K67" s="187"/>
      <c r="L67" s="187"/>
      <c r="M67" s="250"/>
      <c r="N67" s="250"/>
      <c r="O67" s="187"/>
      <c r="P67" s="187"/>
      <c r="Q67" s="187"/>
      <c r="R67" s="187"/>
      <c r="S67" s="187"/>
      <c r="T67" s="187"/>
      <c r="U67" s="187"/>
      <c r="V67" s="221"/>
      <c r="W67" s="187"/>
      <c r="X67" s="192"/>
      <c r="Y67" s="219"/>
      <c r="Z67" s="219"/>
      <c r="AA67" s="220"/>
      <c r="AB67" s="190"/>
      <c r="AC67" s="187"/>
      <c r="AD67" s="187"/>
      <c r="AE67" s="187"/>
      <c r="AF67" s="187"/>
      <c r="AG67" s="187"/>
    </row>
    <row r="68" spans="1:33" x14ac:dyDescent="0.3">
      <c r="A68" s="187"/>
      <c r="B68" s="25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3"/>
      <c r="P68" s="233"/>
      <c r="Q68" s="232"/>
      <c r="R68" s="232"/>
      <c r="S68" s="234"/>
      <c r="T68" s="234"/>
      <c r="U68" s="232"/>
      <c r="V68" s="235"/>
      <c r="W68" s="187"/>
      <c r="X68" s="192"/>
      <c r="Y68" s="219"/>
      <c r="Z68" s="219"/>
      <c r="AA68" s="220"/>
      <c r="AB68" s="190"/>
      <c r="AC68" s="187"/>
      <c r="AD68" s="187"/>
      <c r="AE68" s="187"/>
      <c r="AF68" s="187"/>
      <c r="AG68" s="187"/>
    </row>
    <row r="69" spans="1:33" x14ac:dyDescent="0.3">
      <c r="A69" s="187"/>
      <c r="B69" s="262"/>
      <c r="C69" s="256"/>
      <c r="D69" s="256"/>
      <c r="E69" s="256"/>
      <c r="F69" s="256"/>
      <c r="G69" s="268"/>
      <c r="H69" s="268"/>
      <c r="I69" s="268"/>
      <c r="J69" s="268"/>
      <c r="K69" s="268"/>
      <c r="L69" s="269"/>
      <c r="M69" s="256"/>
      <c r="N69" s="390"/>
      <c r="O69" s="390"/>
      <c r="P69" s="390"/>
      <c r="Q69" s="390"/>
      <c r="R69" s="390"/>
      <c r="S69" s="390"/>
      <c r="T69" s="269"/>
      <c r="U69" s="256"/>
      <c r="V69" s="237"/>
      <c r="W69" s="270"/>
      <c r="X69" s="270"/>
      <c r="Y69" s="270"/>
      <c r="Z69" s="270"/>
      <c r="AA69" s="270"/>
      <c r="AB69" s="270"/>
      <c r="AC69" s="271"/>
      <c r="AD69" s="187"/>
      <c r="AE69" s="187"/>
      <c r="AF69" s="187"/>
      <c r="AG69" s="187"/>
    </row>
    <row r="70" spans="1:33" x14ac:dyDescent="0.3">
      <c r="A70" s="187"/>
      <c r="B70" s="262"/>
      <c r="C70" s="468" t="s">
        <v>42</v>
      </c>
      <c r="D70" s="468"/>
      <c r="E70" s="468"/>
      <c r="F70" s="256"/>
      <c r="G70" s="469" t="s">
        <v>43</v>
      </c>
      <c r="H70" s="470"/>
      <c r="I70" s="470"/>
      <c r="J70" s="470"/>
      <c r="K70" s="470"/>
      <c r="L70" s="471"/>
      <c r="M70" s="256"/>
      <c r="N70" s="472"/>
      <c r="O70" s="472"/>
      <c r="P70" s="472"/>
      <c r="Q70" s="472"/>
      <c r="R70" s="472"/>
      <c r="S70" s="472"/>
      <c r="T70" s="472"/>
      <c r="U70" s="256"/>
      <c r="V70" s="23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</row>
    <row r="71" spans="1:33" x14ac:dyDescent="0.3">
      <c r="A71" s="187"/>
      <c r="B71" s="262"/>
      <c r="C71" s="468"/>
      <c r="D71" s="468"/>
      <c r="E71" s="468"/>
      <c r="F71" s="256"/>
      <c r="G71" s="272" t="s">
        <v>56</v>
      </c>
      <c r="H71" s="273"/>
      <c r="I71" s="274"/>
      <c r="J71" s="256"/>
      <c r="K71" s="256"/>
      <c r="L71" s="275">
        <f>U65</f>
        <v>2933188.4845192828</v>
      </c>
      <c r="M71" s="256"/>
      <c r="N71" s="256"/>
      <c r="O71" s="260"/>
      <c r="P71" s="260"/>
      <c r="Q71" s="256"/>
      <c r="R71" s="256"/>
      <c r="S71" s="261"/>
      <c r="T71" s="261"/>
      <c r="U71" s="256"/>
      <c r="V71" s="237"/>
      <c r="W71" s="276"/>
      <c r="X71" s="276"/>
      <c r="Y71" s="276"/>
      <c r="Z71" s="276"/>
      <c r="AA71" s="276"/>
      <c r="AB71" s="276"/>
      <c r="AC71" s="277"/>
      <c r="AD71" s="187"/>
      <c r="AE71" s="187"/>
      <c r="AF71" s="187"/>
      <c r="AG71" s="187"/>
    </row>
    <row r="72" spans="1:33" x14ac:dyDescent="0.3">
      <c r="A72" s="187"/>
      <c r="B72" s="262"/>
      <c r="C72" s="473">
        <v>0</v>
      </c>
      <c r="D72" s="473"/>
      <c r="E72" s="473"/>
      <c r="F72" s="256"/>
      <c r="G72" s="278"/>
      <c r="H72" s="279"/>
      <c r="I72" s="280"/>
      <c r="J72" s="222"/>
      <c r="K72" s="222"/>
      <c r="L72" s="281"/>
      <c r="M72" s="256"/>
      <c r="N72" s="256"/>
      <c r="O72" s="260"/>
      <c r="P72" s="260"/>
      <c r="Q72" s="256"/>
      <c r="R72" s="256"/>
      <c r="S72" s="261"/>
      <c r="T72" s="261"/>
      <c r="U72" s="256"/>
      <c r="V72" s="237"/>
      <c r="W72" s="276"/>
      <c r="X72" s="276"/>
      <c r="Y72" s="276"/>
      <c r="Z72" s="276"/>
      <c r="AA72" s="276"/>
      <c r="AB72" s="276"/>
      <c r="AC72" s="277"/>
      <c r="AD72" s="187"/>
      <c r="AE72" s="187"/>
      <c r="AF72" s="187"/>
      <c r="AG72" s="187"/>
    </row>
    <row r="73" spans="1:33" x14ac:dyDescent="0.3">
      <c r="A73" s="187"/>
      <c r="B73" s="262"/>
      <c r="C73" s="473"/>
      <c r="D73" s="473"/>
      <c r="E73" s="473"/>
      <c r="F73" s="256"/>
      <c r="G73" s="272" t="s">
        <v>55</v>
      </c>
      <c r="H73" s="273"/>
      <c r="I73" s="274"/>
      <c r="J73" s="256"/>
      <c r="K73" s="282"/>
      <c r="L73" s="258">
        <f>SUM(L71:L72)</f>
        <v>2933188.4845192828</v>
      </c>
      <c r="M73" s="256"/>
      <c r="N73" s="256"/>
      <c r="O73" s="260"/>
      <c r="P73" s="260"/>
      <c r="Q73" s="256"/>
      <c r="R73" s="256"/>
      <c r="S73" s="261"/>
      <c r="T73" s="261"/>
      <c r="U73" s="256"/>
      <c r="V73" s="237"/>
      <c r="W73" s="276"/>
      <c r="X73" s="276"/>
      <c r="Y73" s="276"/>
      <c r="Z73" s="276"/>
      <c r="AA73" s="276"/>
      <c r="AB73" s="276"/>
      <c r="AC73" s="277"/>
      <c r="AD73" s="187"/>
      <c r="AE73" s="187"/>
      <c r="AF73" s="187"/>
      <c r="AG73" s="187"/>
    </row>
    <row r="74" spans="1:33" ht="15" customHeight="1" x14ac:dyDescent="0.3">
      <c r="A74" s="187"/>
      <c r="B74" s="262"/>
      <c r="C74" s="467" t="s">
        <v>49</v>
      </c>
      <c r="D74" s="467"/>
      <c r="E74" s="467"/>
      <c r="F74" s="256"/>
      <c r="G74" s="272" t="s">
        <v>44</v>
      </c>
      <c r="H74" s="283">
        <v>8.9999999999999993E-3</v>
      </c>
      <c r="I74" s="283"/>
      <c r="J74" s="284" t="s">
        <v>45</v>
      </c>
      <c r="K74" s="284"/>
      <c r="L74" s="285">
        <f>H74*(1-C72)</f>
        <v>8.9999999999999993E-3</v>
      </c>
      <c r="M74" s="286"/>
      <c r="N74" s="286"/>
      <c r="O74" s="260"/>
      <c r="P74" s="260"/>
      <c r="Q74" s="256"/>
      <c r="R74" s="256"/>
      <c r="S74" s="261"/>
      <c r="T74" s="261"/>
      <c r="U74" s="256"/>
      <c r="V74" s="23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</row>
    <row r="75" spans="1:33" ht="15" customHeight="1" x14ac:dyDescent="0.3">
      <c r="A75" s="187"/>
      <c r="B75" s="262"/>
      <c r="C75" s="467"/>
      <c r="D75" s="467"/>
      <c r="E75" s="467"/>
      <c r="F75" s="256"/>
      <c r="G75" s="287" t="s">
        <v>46</v>
      </c>
      <c r="H75" s="288"/>
      <c r="I75" s="289"/>
      <c r="J75" s="290" t="s">
        <v>47</v>
      </c>
      <c r="K75" s="290"/>
      <c r="L75" s="291">
        <f>L73*L74</f>
        <v>26398.696360673544</v>
      </c>
      <c r="M75" s="474" t="s">
        <v>36</v>
      </c>
      <c r="N75" s="475"/>
      <c r="O75" s="247"/>
      <c r="P75" s="292" t="s">
        <v>48</v>
      </c>
      <c r="Q75" s="222"/>
      <c r="R75" s="222"/>
      <c r="S75" s="476"/>
      <c r="T75" s="476"/>
      <c r="U75" s="293"/>
      <c r="V75" s="237"/>
      <c r="W75" s="270"/>
      <c r="X75" s="270"/>
      <c r="Y75" s="270"/>
      <c r="Z75" s="270"/>
      <c r="AA75" s="270"/>
      <c r="AB75" s="270"/>
      <c r="AC75" s="271"/>
      <c r="AD75" s="187"/>
      <c r="AE75" s="187"/>
      <c r="AF75" s="187"/>
      <c r="AG75" s="187"/>
    </row>
    <row r="76" spans="1:33" ht="15" customHeight="1" x14ac:dyDescent="0.3">
      <c r="A76" s="187"/>
      <c r="B76" s="262"/>
      <c r="C76" s="263"/>
      <c r="D76" s="263"/>
      <c r="E76" s="263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3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</row>
    <row r="77" spans="1:33" ht="15" customHeight="1" x14ac:dyDescent="0.3">
      <c r="A77" s="187"/>
      <c r="B77" s="264"/>
      <c r="C77" s="263"/>
      <c r="D77" s="263"/>
      <c r="E77" s="263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3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</row>
    <row r="78" spans="1:33" ht="15" customHeight="1" x14ac:dyDescent="0.3">
      <c r="A78" s="187"/>
      <c r="B78" s="264"/>
      <c r="C78" s="263"/>
      <c r="D78" s="477" t="s">
        <v>41</v>
      </c>
      <c r="E78" s="478"/>
      <c r="F78" s="256"/>
      <c r="G78" s="469" t="s">
        <v>50</v>
      </c>
      <c r="H78" s="470"/>
      <c r="I78" s="470"/>
      <c r="J78" s="470"/>
      <c r="K78" s="470"/>
      <c r="L78" s="471"/>
      <c r="M78" s="256"/>
      <c r="N78" s="472"/>
      <c r="O78" s="472"/>
      <c r="P78" s="472"/>
      <c r="Q78" s="472"/>
      <c r="R78" s="472"/>
      <c r="S78" s="472"/>
      <c r="T78" s="472"/>
      <c r="U78" s="256"/>
      <c r="V78" s="237"/>
      <c r="W78" s="294"/>
      <c r="X78" s="294"/>
      <c r="Y78" s="294"/>
      <c r="Z78" s="294"/>
      <c r="AA78" s="294"/>
      <c r="AB78" s="294"/>
      <c r="AC78" s="294"/>
      <c r="AD78" s="187"/>
      <c r="AE78" s="187"/>
      <c r="AF78" s="187"/>
      <c r="AG78" s="187"/>
    </row>
    <row r="79" spans="1:33" x14ac:dyDescent="0.3">
      <c r="A79" s="187"/>
      <c r="B79" s="265"/>
      <c r="C79" s="257"/>
      <c r="D79" s="479"/>
      <c r="E79" s="480"/>
      <c r="F79" s="256"/>
      <c r="G79" s="272" t="s">
        <v>56</v>
      </c>
      <c r="H79" s="273"/>
      <c r="I79" s="274"/>
      <c r="J79" s="256"/>
      <c r="K79" s="256"/>
      <c r="L79" s="281">
        <f>U65</f>
        <v>2933188.4845192828</v>
      </c>
      <c r="M79" s="256"/>
      <c r="N79" s="295"/>
      <c r="O79" s="273"/>
      <c r="P79" s="274"/>
      <c r="Q79" s="256"/>
      <c r="R79" s="256"/>
      <c r="S79" s="256"/>
      <c r="T79" s="296"/>
      <c r="U79" s="256"/>
      <c r="V79" s="237"/>
      <c r="W79" s="294"/>
      <c r="X79" s="297"/>
      <c r="Y79" s="298"/>
      <c r="Z79" s="298"/>
      <c r="AA79" s="187"/>
      <c r="AB79" s="187"/>
      <c r="AC79" s="299"/>
      <c r="AD79" s="187"/>
      <c r="AE79" s="187"/>
      <c r="AF79" s="187"/>
      <c r="AG79" s="187"/>
    </row>
    <row r="80" spans="1:33" x14ac:dyDescent="0.3">
      <c r="A80" s="187"/>
      <c r="B80" s="265"/>
      <c r="C80" s="257"/>
      <c r="D80" s="481" t="s">
        <v>11</v>
      </c>
      <c r="E80" s="482"/>
      <c r="F80" s="256"/>
      <c r="G80" s="278"/>
      <c r="H80" s="279"/>
      <c r="I80" s="280"/>
      <c r="J80" s="222"/>
      <c r="K80" s="222"/>
      <c r="L80" s="300"/>
      <c r="M80" s="256"/>
      <c r="N80" s="295"/>
      <c r="O80" s="273"/>
      <c r="P80" s="274"/>
      <c r="Q80" s="256"/>
      <c r="R80" s="256"/>
      <c r="S80" s="256"/>
      <c r="T80" s="296"/>
      <c r="U80" s="256"/>
      <c r="V80" s="237"/>
      <c r="W80" s="294"/>
      <c r="X80" s="297"/>
      <c r="Y80" s="298"/>
      <c r="Z80" s="298"/>
      <c r="AA80" s="187"/>
      <c r="AB80" s="187"/>
      <c r="AC80" s="299"/>
      <c r="AD80" s="187"/>
      <c r="AE80" s="187"/>
      <c r="AF80" s="187"/>
      <c r="AG80" s="187"/>
    </row>
    <row r="81" spans="1:33" x14ac:dyDescent="0.3">
      <c r="A81" s="187"/>
      <c r="B81" s="265"/>
      <c r="C81" s="257"/>
      <c r="D81" s="483"/>
      <c r="E81" s="484"/>
      <c r="F81" s="256"/>
      <c r="G81" s="272" t="s">
        <v>55</v>
      </c>
      <c r="H81" s="273"/>
      <c r="I81" s="274"/>
      <c r="J81" s="256"/>
      <c r="K81" s="282"/>
      <c r="L81" s="301">
        <f>SUM(L79:L80)</f>
        <v>2933188.4845192828</v>
      </c>
      <c r="M81" s="256"/>
      <c r="N81" s="295"/>
      <c r="O81" s="273"/>
      <c r="P81" s="274"/>
      <c r="Q81" s="256"/>
      <c r="R81" s="256"/>
      <c r="S81" s="256"/>
      <c r="T81" s="296"/>
      <c r="U81" s="256"/>
      <c r="V81" s="237"/>
      <c r="W81" s="294"/>
      <c r="X81" s="297"/>
      <c r="Y81" s="298"/>
      <c r="Z81" s="298"/>
      <c r="AA81" s="187"/>
      <c r="AB81" s="187"/>
      <c r="AC81" s="299"/>
      <c r="AD81" s="187"/>
      <c r="AE81" s="187"/>
      <c r="AF81" s="187"/>
      <c r="AG81" s="187"/>
    </row>
    <row r="82" spans="1:33" x14ac:dyDescent="0.3">
      <c r="A82" s="187"/>
      <c r="B82" s="264"/>
      <c r="C82" s="256"/>
      <c r="D82" s="187"/>
      <c r="E82" s="187"/>
      <c r="F82" s="256"/>
      <c r="G82" s="272" t="s">
        <v>51</v>
      </c>
      <c r="H82" s="283">
        <v>1E-3</v>
      </c>
      <c r="I82" s="274"/>
      <c r="J82" s="284" t="s">
        <v>45</v>
      </c>
      <c r="K82" s="284"/>
      <c r="L82" s="302">
        <f>H82*(1-C72)</f>
        <v>1E-3</v>
      </c>
      <c r="M82" s="256"/>
      <c r="N82" s="295"/>
      <c r="O82" s="283"/>
      <c r="P82" s="274"/>
      <c r="Q82" s="284"/>
      <c r="R82" s="284"/>
      <c r="S82" s="284"/>
      <c r="T82" s="259"/>
      <c r="U82" s="256"/>
      <c r="V82" s="237"/>
      <c r="W82" s="294"/>
      <c r="X82" s="303"/>
      <c r="Y82" s="298"/>
      <c r="Z82" s="298"/>
      <c r="AA82" s="194"/>
      <c r="AB82" s="194"/>
      <c r="AC82" s="248"/>
      <c r="AD82" s="187"/>
      <c r="AE82" s="187"/>
      <c r="AF82" s="187"/>
      <c r="AG82" s="187"/>
    </row>
    <row r="83" spans="1:33" x14ac:dyDescent="0.3">
      <c r="A83" s="187"/>
      <c r="B83" s="265"/>
      <c r="C83" s="256"/>
      <c r="D83" s="187"/>
      <c r="E83" s="187"/>
      <c r="F83" s="256"/>
      <c r="G83" s="287" t="s">
        <v>46</v>
      </c>
      <c r="H83" s="288"/>
      <c r="I83" s="289"/>
      <c r="J83" s="290" t="s">
        <v>47</v>
      </c>
      <c r="K83" s="290"/>
      <c r="L83" s="291">
        <f>L81*L82</f>
        <v>2933.1884845192831</v>
      </c>
      <c r="M83" s="304" t="s">
        <v>36</v>
      </c>
      <c r="N83" s="305"/>
      <c r="O83" s="247"/>
      <c r="P83" s="292" t="s">
        <v>52</v>
      </c>
      <c r="Q83" s="222"/>
      <c r="R83" s="222"/>
      <c r="S83" s="267"/>
      <c r="T83" s="267"/>
      <c r="U83" s="293"/>
      <c r="V83" s="237"/>
      <c r="W83" s="297"/>
      <c r="X83" s="297"/>
      <c r="Y83" s="306"/>
      <c r="Z83" s="306"/>
      <c r="AA83" s="307"/>
      <c r="AB83" s="307"/>
      <c r="AC83" s="308"/>
      <c r="AD83" s="187"/>
      <c r="AE83" s="187"/>
      <c r="AF83" s="187"/>
      <c r="AG83" s="187"/>
    </row>
    <row r="84" spans="1:33" x14ac:dyDescent="0.3">
      <c r="A84" s="187"/>
      <c r="B84" s="265"/>
      <c r="C84" s="256"/>
      <c r="D84" s="256"/>
      <c r="E84" s="256"/>
      <c r="F84" s="256"/>
      <c r="G84" s="256"/>
      <c r="H84" s="256"/>
      <c r="I84" s="256"/>
      <c r="J84" s="256"/>
      <c r="K84" s="256"/>
      <c r="L84" s="260"/>
      <c r="M84" s="256"/>
      <c r="N84" s="256"/>
      <c r="O84" s="256"/>
      <c r="P84" s="256"/>
      <c r="Q84" s="256"/>
      <c r="R84" s="256"/>
      <c r="S84" s="256"/>
      <c r="T84" s="260"/>
      <c r="U84" s="256"/>
      <c r="V84" s="237"/>
      <c r="W84" s="187"/>
      <c r="X84" s="187"/>
      <c r="Y84" s="187"/>
      <c r="Z84" s="187"/>
      <c r="AA84" s="187"/>
      <c r="AB84" s="187"/>
      <c r="AC84" s="191"/>
      <c r="AD84" s="187"/>
      <c r="AE84" s="187"/>
      <c r="AF84" s="187"/>
      <c r="AG84" s="187"/>
    </row>
    <row r="85" spans="1:33" x14ac:dyDescent="0.3">
      <c r="A85" s="187"/>
      <c r="B85" s="266"/>
      <c r="C85" s="254"/>
      <c r="D85" s="254"/>
      <c r="E85" s="255"/>
      <c r="F85" s="225"/>
      <c r="G85" s="225"/>
      <c r="H85" s="225"/>
      <c r="I85" s="225"/>
      <c r="J85" s="225"/>
      <c r="K85" s="225"/>
      <c r="L85" s="225"/>
      <c r="M85" s="225"/>
      <c r="N85" s="225"/>
      <c r="O85" s="226"/>
      <c r="P85" s="226"/>
      <c r="Q85" s="225"/>
      <c r="R85" s="225"/>
      <c r="S85" s="227"/>
      <c r="T85" s="227"/>
      <c r="U85" s="225"/>
      <c r="V85" s="228"/>
      <c r="W85" s="187"/>
      <c r="X85" s="192"/>
      <c r="Y85" s="219"/>
      <c r="Z85" s="219"/>
      <c r="AA85" s="220"/>
      <c r="AB85" s="190"/>
      <c r="AC85" s="187"/>
      <c r="AD85" s="187"/>
      <c r="AE85" s="187"/>
      <c r="AF85" s="187"/>
      <c r="AG85" s="187"/>
    </row>
    <row r="86" spans="1:33" x14ac:dyDescent="0.3">
      <c r="A86" s="187"/>
      <c r="B86" s="187"/>
      <c r="C86" s="189"/>
      <c r="D86" s="189"/>
      <c r="E86" s="190"/>
      <c r="F86" s="187"/>
      <c r="G86" s="187"/>
      <c r="H86" s="187"/>
      <c r="I86" s="187"/>
      <c r="J86" s="187"/>
      <c r="K86" s="187"/>
      <c r="L86" s="187"/>
      <c r="M86" s="250"/>
      <c r="N86" s="250"/>
      <c r="O86" s="187"/>
      <c r="P86" s="187"/>
      <c r="Q86" s="187"/>
      <c r="R86" s="187"/>
      <c r="S86" s="187"/>
      <c r="T86" s="187"/>
      <c r="U86" s="187"/>
      <c r="V86" s="221"/>
      <c r="W86" s="187"/>
      <c r="X86" s="192"/>
      <c r="Y86" s="219"/>
      <c r="Z86" s="219"/>
      <c r="AA86" s="220"/>
      <c r="AB86" s="190"/>
      <c r="AC86" s="187"/>
      <c r="AD86" s="187"/>
      <c r="AE86" s="187"/>
      <c r="AF86" s="187"/>
      <c r="AG86" s="187"/>
    </row>
    <row r="87" spans="1:33" x14ac:dyDescent="0.3">
      <c r="A87" s="187"/>
      <c r="B87" s="187"/>
      <c r="C87" s="189"/>
      <c r="D87" s="189"/>
      <c r="E87" s="190"/>
      <c r="F87" s="187"/>
      <c r="G87" s="187"/>
      <c r="H87" s="187"/>
      <c r="I87" s="187"/>
      <c r="J87" s="187"/>
      <c r="K87" s="187"/>
      <c r="L87" s="187"/>
      <c r="M87" s="187"/>
      <c r="N87" s="187"/>
      <c r="O87" s="191"/>
      <c r="P87" s="191"/>
      <c r="Q87" s="187"/>
      <c r="R87" s="187"/>
      <c r="S87" s="192"/>
      <c r="T87" s="192"/>
      <c r="U87" s="187"/>
      <c r="V87" s="221"/>
      <c r="W87" s="187"/>
      <c r="X87" s="192"/>
      <c r="Y87" s="219"/>
      <c r="Z87" s="219"/>
      <c r="AA87" s="220"/>
      <c r="AB87" s="190"/>
      <c r="AC87" s="187"/>
      <c r="AD87" s="187"/>
      <c r="AE87" s="187"/>
      <c r="AF87" s="187"/>
      <c r="AG87" s="187"/>
    </row>
    <row r="88" spans="1:33" s="144" customFormat="1" ht="42" customHeight="1" x14ac:dyDescent="0.3">
      <c r="A88" s="128"/>
      <c r="B88" s="128"/>
      <c r="C88" s="128"/>
      <c r="D88" s="128"/>
      <c r="E88" s="129"/>
      <c r="F88" s="128"/>
      <c r="G88" s="130"/>
      <c r="H88" s="131"/>
      <c r="I88" s="130"/>
      <c r="J88" s="130"/>
      <c r="K88" s="130"/>
      <c r="L88" s="132"/>
      <c r="M88" s="128"/>
      <c r="N88" s="128"/>
      <c r="O88" s="133"/>
      <c r="P88" s="466" t="s">
        <v>57</v>
      </c>
      <c r="Q88" s="466"/>
      <c r="R88" s="466"/>
      <c r="S88" s="466"/>
      <c r="T88" s="466"/>
      <c r="U88" s="134">
        <f>SUM(U65:U86)</f>
        <v>2933188.4845192828</v>
      </c>
      <c r="V88" s="128"/>
      <c r="W88" s="128"/>
      <c r="X88" s="135"/>
      <c r="Y88" s="136"/>
      <c r="Z88" s="136"/>
      <c r="AA88" s="137"/>
      <c r="AB88" s="129"/>
      <c r="AC88" s="128"/>
      <c r="AD88" s="128"/>
      <c r="AE88" s="128"/>
      <c r="AF88" s="128"/>
      <c r="AG88" s="128"/>
    </row>
    <row r="90" spans="1:33" x14ac:dyDescent="0.3">
      <c r="U90" s="139"/>
    </row>
  </sheetData>
  <mergeCells count="67">
    <mergeCell ref="P88:T88"/>
    <mergeCell ref="C74:E75"/>
    <mergeCell ref="C70:E71"/>
    <mergeCell ref="G70:L70"/>
    <mergeCell ref="N70:T70"/>
    <mergeCell ref="C72:E73"/>
    <mergeCell ref="M75:N75"/>
    <mergeCell ref="S75:T75"/>
    <mergeCell ref="D78:E79"/>
    <mergeCell ref="G78:L78"/>
    <mergeCell ref="N78:T78"/>
    <mergeCell ref="D80:E81"/>
    <mergeCell ref="B59:B61"/>
    <mergeCell ref="B45:B49"/>
    <mergeCell ref="B51:B53"/>
    <mergeCell ref="M52:N52"/>
    <mergeCell ref="B55:B57"/>
    <mergeCell ref="M56:N56"/>
    <mergeCell ref="X56:Y56"/>
    <mergeCell ref="C31:E31"/>
    <mergeCell ref="F31:G31"/>
    <mergeCell ref="C36:E36"/>
    <mergeCell ref="B39:B41"/>
    <mergeCell ref="AB19:AC19"/>
    <mergeCell ref="C28:E28"/>
    <mergeCell ref="F28:G28"/>
    <mergeCell ref="I28:M28"/>
    <mergeCell ref="N28:O28"/>
    <mergeCell ref="Q28:T28"/>
    <mergeCell ref="AB21:AC21"/>
    <mergeCell ref="I24:P24"/>
    <mergeCell ref="C26:G26"/>
    <mergeCell ref="I26:O26"/>
    <mergeCell ref="I27:M27"/>
    <mergeCell ref="N27:O27"/>
    <mergeCell ref="Q27:T27"/>
    <mergeCell ref="F15:G15"/>
    <mergeCell ref="N15:O15"/>
    <mergeCell ref="AB15:AC15"/>
    <mergeCell ref="AB14:AC14"/>
    <mergeCell ref="AB11:AC11"/>
    <mergeCell ref="Q12:T12"/>
    <mergeCell ref="W12:AA12"/>
    <mergeCell ref="AB12:AC12"/>
    <mergeCell ref="F11:G11"/>
    <mergeCell ref="I11:M11"/>
    <mergeCell ref="N11:O11"/>
    <mergeCell ref="Q11:T11"/>
    <mergeCell ref="W11:AA11"/>
    <mergeCell ref="B2:E2"/>
    <mergeCell ref="D3:E3"/>
    <mergeCell ref="D4:E4"/>
    <mergeCell ref="G4:S4"/>
    <mergeCell ref="I8:P8"/>
    <mergeCell ref="C10:G10"/>
    <mergeCell ref="F14:G14"/>
    <mergeCell ref="N14:O14"/>
    <mergeCell ref="C12:E12"/>
    <mergeCell ref="F12:G12"/>
    <mergeCell ref="I12:M12"/>
    <mergeCell ref="N12:O12"/>
    <mergeCell ref="C11:E11"/>
    <mergeCell ref="N69:S69"/>
    <mergeCell ref="C19:E19"/>
    <mergeCell ref="F19:G19"/>
    <mergeCell ref="N19:O19"/>
    <mergeCell ref="P65:T65"/>
  </mergeCells>
  <conditionalFormatting sqref="B1">
    <cfRule type="expression" priority="14">
      <formula>$A$1="X"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38"/>
  <sheetViews>
    <sheetView tabSelected="1" topLeftCell="A28" workbookViewId="0">
      <selection activeCell="H133" sqref="H133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503" t="s">
        <v>58</v>
      </c>
      <c r="D3" s="505" t="s">
        <v>59</v>
      </c>
      <c r="E3" s="147" t="s">
        <v>60</v>
      </c>
    </row>
    <row r="4" spans="3:5" x14ac:dyDescent="0.3">
      <c r="C4" s="504"/>
      <c r="D4" s="506"/>
      <c r="E4" s="147" t="s">
        <v>61</v>
      </c>
    </row>
    <row r="5" spans="3:5" x14ac:dyDescent="0.3">
      <c r="C5" s="504"/>
      <c r="D5" s="506"/>
      <c r="E5" s="147" t="s">
        <v>62</v>
      </c>
    </row>
    <row r="6" spans="3:5" x14ac:dyDescent="0.3">
      <c r="C6" s="504"/>
      <c r="D6" s="506"/>
      <c r="E6" s="147" t="s">
        <v>63</v>
      </c>
    </row>
    <row r="7" spans="3:5" x14ac:dyDescent="0.3">
      <c r="C7" s="504"/>
    </row>
    <row r="8" spans="3:5" ht="14.4" customHeight="1" x14ac:dyDescent="0.3">
      <c r="C8" s="504"/>
      <c r="D8" s="518"/>
      <c r="E8" s="519"/>
    </row>
    <row r="9" spans="3:5" x14ac:dyDescent="0.3">
      <c r="C9" s="504"/>
      <c r="D9" s="518"/>
      <c r="E9" s="519"/>
    </row>
    <row r="10" spans="3:5" ht="15" customHeight="1" x14ac:dyDescent="0.3">
      <c r="C10" s="504"/>
      <c r="D10" s="518"/>
      <c r="E10" s="519"/>
    </row>
    <row r="11" spans="3:5" x14ac:dyDescent="0.3">
      <c r="C11" s="504"/>
      <c r="D11" s="518"/>
      <c r="E11" s="519"/>
    </row>
    <row r="12" spans="3:5" x14ac:dyDescent="0.3">
      <c r="C12" s="504"/>
      <c r="D12" s="518"/>
      <c r="E12" s="519"/>
    </row>
    <row r="13" spans="3:5" x14ac:dyDescent="0.3">
      <c r="C13" s="504"/>
      <c r="D13" s="518"/>
      <c r="E13" s="519"/>
    </row>
    <row r="14" spans="3:5" x14ac:dyDescent="0.3">
      <c r="C14" s="504"/>
      <c r="D14" s="518"/>
      <c r="E14" s="519"/>
    </row>
    <row r="15" spans="3:5" x14ac:dyDescent="0.3">
      <c r="C15" s="504"/>
      <c r="D15" s="518"/>
      <c r="E15" s="519"/>
    </row>
    <row r="16" spans="3:5" x14ac:dyDescent="0.3">
      <c r="C16" s="504"/>
      <c r="D16" s="518"/>
      <c r="E16" s="519"/>
    </row>
    <row r="20" spans="3:5" x14ac:dyDescent="0.3">
      <c r="C20" s="500" t="s">
        <v>58</v>
      </c>
      <c r="D20" s="507" t="s">
        <v>66</v>
      </c>
      <c r="E20" s="148" t="s">
        <v>67</v>
      </c>
    </row>
    <row r="21" spans="3:5" x14ac:dyDescent="0.3">
      <c r="C21" s="501"/>
      <c r="D21" s="507"/>
      <c r="E21" s="148" t="s">
        <v>68</v>
      </c>
    </row>
    <row r="22" spans="3:5" x14ac:dyDescent="0.3">
      <c r="C22" s="501"/>
      <c r="D22" s="507"/>
      <c r="E22" s="148" t="s">
        <v>69</v>
      </c>
    </row>
    <row r="23" spans="3:5" x14ac:dyDescent="0.3">
      <c r="C23" s="501"/>
      <c r="D23" s="507"/>
      <c r="E23" s="148" t="s">
        <v>70</v>
      </c>
    </row>
    <row r="24" spans="3:5" x14ac:dyDescent="0.3">
      <c r="C24" s="501"/>
      <c r="D24" s="507"/>
      <c r="E24" s="149" t="s">
        <v>71</v>
      </c>
    </row>
    <row r="25" spans="3:5" x14ac:dyDescent="0.3">
      <c r="C25" s="501"/>
      <c r="D25" s="507"/>
      <c r="E25" s="148" t="s">
        <v>72</v>
      </c>
    </row>
    <row r="26" spans="3:5" x14ac:dyDescent="0.3">
      <c r="C26" s="501"/>
      <c r="D26" s="507"/>
      <c r="E26" s="148" t="s">
        <v>156</v>
      </c>
    </row>
    <row r="27" spans="3:5" x14ac:dyDescent="0.3">
      <c r="C27" s="501"/>
      <c r="D27" s="507"/>
      <c r="E27" s="148" t="s">
        <v>73</v>
      </c>
    </row>
    <row r="28" spans="3:5" x14ac:dyDescent="0.3">
      <c r="C28" s="501"/>
      <c r="D28" s="507"/>
      <c r="E28" s="148" t="s">
        <v>157</v>
      </c>
    </row>
    <row r="29" spans="3:5" x14ac:dyDescent="0.3">
      <c r="C29" s="501"/>
      <c r="D29" s="507"/>
      <c r="E29" s="148" t="s">
        <v>74</v>
      </c>
    </row>
    <row r="30" spans="3:5" x14ac:dyDescent="0.3">
      <c r="C30" s="501"/>
      <c r="D30" s="507"/>
      <c r="E30" s="148" t="s">
        <v>75</v>
      </c>
    </row>
    <row r="31" spans="3:5" x14ac:dyDescent="0.3">
      <c r="C31" s="501"/>
      <c r="D31" s="507"/>
      <c r="E31" s="148" t="s">
        <v>76</v>
      </c>
    </row>
    <row r="35" spans="3:5" x14ac:dyDescent="0.3">
      <c r="C35" s="485" t="s">
        <v>58</v>
      </c>
      <c r="D35" s="508" t="s">
        <v>77</v>
      </c>
      <c r="E35" s="150" t="s">
        <v>78</v>
      </c>
    </row>
    <row r="36" spans="3:5" x14ac:dyDescent="0.3">
      <c r="C36" s="486"/>
      <c r="D36" s="508"/>
      <c r="E36" s="150" t="s">
        <v>79</v>
      </c>
    </row>
    <row r="37" spans="3:5" x14ac:dyDescent="0.3">
      <c r="C37" s="486"/>
      <c r="D37" s="508"/>
      <c r="E37" s="150" t="s">
        <v>80</v>
      </c>
    </row>
    <row r="38" spans="3:5" x14ac:dyDescent="0.3">
      <c r="C38" s="486"/>
      <c r="D38" s="508"/>
      <c r="E38" s="150" t="s">
        <v>81</v>
      </c>
    </row>
    <row r="39" spans="3:5" x14ac:dyDescent="0.3">
      <c r="C39" s="486"/>
      <c r="D39" s="508"/>
      <c r="E39" s="150" t="s">
        <v>82</v>
      </c>
    </row>
    <row r="40" spans="3:5" x14ac:dyDescent="0.3">
      <c r="C40" s="486"/>
      <c r="D40" s="508"/>
      <c r="E40" s="150" t="s">
        <v>83</v>
      </c>
    </row>
    <row r="41" spans="3:5" x14ac:dyDescent="0.3">
      <c r="C41" s="486"/>
      <c r="D41" s="508"/>
      <c r="E41" s="150" t="s">
        <v>71</v>
      </c>
    </row>
    <row r="42" spans="3:5" x14ac:dyDescent="0.3">
      <c r="C42" s="486"/>
      <c r="D42" s="508"/>
      <c r="E42" s="150" t="s">
        <v>158</v>
      </c>
    </row>
    <row r="43" spans="3:5" x14ac:dyDescent="0.3">
      <c r="C43" s="486"/>
      <c r="D43" s="508"/>
      <c r="E43" s="150" t="s">
        <v>84</v>
      </c>
    </row>
    <row r="44" spans="3:5" x14ac:dyDescent="0.3">
      <c r="C44" s="486"/>
      <c r="D44" s="508"/>
      <c r="E44" s="151" t="s">
        <v>85</v>
      </c>
    </row>
    <row r="45" spans="3:5" x14ac:dyDescent="0.3">
      <c r="C45" s="486"/>
      <c r="D45" s="508"/>
      <c r="E45" s="151" t="s">
        <v>157</v>
      </c>
    </row>
    <row r="46" spans="3:5" x14ac:dyDescent="0.3">
      <c r="C46" s="486"/>
      <c r="D46" s="508"/>
      <c r="E46" s="151" t="s">
        <v>86</v>
      </c>
    </row>
    <row r="47" spans="3:5" x14ac:dyDescent="0.3">
      <c r="C47" s="487"/>
      <c r="D47" s="508"/>
      <c r="E47" s="151" t="s">
        <v>87</v>
      </c>
    </row>
    <row r="51" spans="3:5" x14ac:dyDescent="0.3">
      <c r="C51" s="485" t="s">
        <v>58</v>
      </c>
      <c r="D51" s="509" t="s">
        <v>88</v>
      </c>
      <c r="E51" s="152" t="s">
        <v>89</v>
      </c>
    </row>
    <row r="52" spans="3:5" x14ac:dyDescent="0.3">
      <c r="C52" s="486"/>
      <c r="D52" s="510"/>
      <c r="E52" s="152" t="s">
        <v>90</v>
      </c>
    </row>
    <row r="53" spans="3:5" x14ac:dyDescent="0.3">
      <c r="C53" s="486"/>
      <c r="D53" s="510"/>
      <c r="E53" s="152" t="s">
        <v>91</v>
      </c>
    </row>
    <row r="54" spans="3:5" x14ac:dyDescent="0.3">
      <c r="C54" s="486"/>
      <c r="D54" s="510"/>
      <c r="E54" s="152" t="s">
        <v>92</v>
      </c>
    </row>
    <row r="55" spans="3:5" x14ac:dyDescent="0.3">
      <c r="C55" s="486"/>
      <c r="D55" s="510"/>
      <c r="E55" s="152" t="s">
        <v>93</v>
      </c>
    </row>
    <row r="56" spans="3:5" x14ac:dyDescent="0.3">
      <c r="C56" s="486"/>
      <c r="D56" s="510"/>
      <c r="E56" s="152" t="s">
        <v>94</v>
      </c>
    </row>
    <row r="57" spans="3:5" x14ac:dyDescent="0.3">
      <c r="C57" s="486"/>
      <c r="D57" s="510"/>
      <c r="E57" s="152" t="s">
        <v>95</v>
      </c>
    </row>
    <row r="58" spans="3:5" x14ac:dyDescent="0.3">
      <c r="C58" s="486"/>
      <c r="D58" s="510"/>
      <c r="E58" s="152" t="s">
        <v>96</v>
      </c>
    </row>
    <row r="59" spans="3:5" x14ac:dyDescent="0.3">
      <c r="C59" s="486"/>
      <c r="D59" s="510"/>
      <c r="E59" s="152" t="s">
        <v>97</v>
      </c>
    </row>
    <row r="60" spans="3:5" x14ac:dyDescent="0.3">
      <c r="C60" s="486"/>
      <c r="D60" s="510"/>
      <c r="E60" s="152" t="s">
        <v>98</v>
      </c>
    </row>
    <row r="61" spans="3:5" x14ac:dyDescent="0.3">
      <c r="C61" s="486"/>
      <c r="D61" s="510"/>
      <c r="E61" s="152" t="s">
        <v>99</v>
      </c>
    </row>
    <row r="62" spans="3:5" x14ac:dyDescent="0.3">
      <c r="C62" s="486"/>
      <c r="D62" s="510"/>
      <c r="E62" s="152" t="s">
        <v>100</v>
      </c>
    </row>
    <row r="63" spans="3:5" x14ac:dyDescent="0.3">
      <c r="C63" s="486"/>
      <c r="D63" s="510"/>
      <c r="E63" s="152" t="s">
        <v>101</v>
      </c>
    </row>
    <row r="64" spans="3:5" x14ac:dyDescent="0.3">
      <c r="C64" s="486"/>
      <c r="D64" s="510"/>
      <c r="E64" s="152" t="s">
        <v>102</v>
      </c>
    </row>
    <row r="65" spans="3:5" x14ac:dyDescent="0.3">
      <c r="C65" s="486"/>
      <c r="D65" s="510"/>
      <c r="E65" s="152" t="s">
        <v>103</v>
      </c>
    </row>
    <row r="66" spans="3:5" x14ac:dyDescent="0.3">
      <c r="C66" s="486"/>
      <c r="D66" s="510"/>
      <c r="E66" s="152" t="s">
        <v>104</v>
      </c>
    </row>
    <row r="67" spans="3:5" x14ac:dyDescent="0.3">
      <c r="C67" s="487"/>
      <c r="D67" s="510"/>
      <c r="E67" s="152" t="s">
        <v>105</v>
      </c>
    </row>
    <row r="71" spans="3:5" ht="15" customHeight="1" x14ac:dyDescent="0.3">
      <c r="C71" s="485" t="s">
        <v>58</v>
      </c>
      <c r="D71" s="511" t="s">
        <v>106</v>
      </c>
      <c r="E71" s="153" t="s">
        <v>107</v>
      </c>
    </row>
    <row r="72" spans="3:5" x14ac:dyDescent="0.3">
      <c r="C72" s="486"/>
      <c r="D72" s="512"/>
      <c r="E72" s="154" t="s">
        <v>108</v>
      </c>
    </row>
    <row r="73" spans="3:5" x14ac:dyDescent="0.3">
      <c r="C73" s="486"/>
      <c r="D73" s="512"/>
      <c r="E73" s="155" t="s">
        <v>109</v>
      </c>
    </row>
    <row r="74" spans="3:5" x14ac:dyDescent="0.3">
      <c r="C74" s="486"/>
      <c r="D74" s="512"/>
      <c r="E74" s="153" t="s">
        <v>110</v>
      </c>
    </row>
    <row r="75" spans="3:5" x14ac:dyDescent="0.3">
      <c r="C75" s="486"/>
      <c r="D75" s="512"/>
      <c r="E75" s="156" t="s">
        <v>111</v>
      </c>
    </row>
    <row r="76" spans="3:5" x14ac:dyDescent="0.3">
      <c r="C76" s="486"/>
      <c r="D76" s="512"/>
      <c r="E76" s="154" t="s">
        <v>112</v>
      </c>
    </row>
    <row r="77" spans="3:5" x14ac:dyDescent="0.3">
      <c r="C77" s="486"/>
      <c r="D77" s="512"/>
      <c r="E77" s="157" t="s">
        <v>113</v>
      </c>
    </row>
    <row r="78" spans="3:5" x14ac:dyDescent="0.3">
      <c r="C78" s="486"/>
      <c r="D78" s="512"/>
      <c r="E78" s="155" t="s">
        <v>114</v>
      </c>
    </row>
    <row r="79" spans="3:5" x14ac:dyDescent="0.3">
      <c r="C79" s="486"/>
      <c r="D79" s="512"/>
      <c r="E79" s="154" t="s">
        <v>115</v>
      </c>
    </row>
    <row r="80" spans="3:5" x14ac:dyDescent="0.3">
      <c r="C80" s="486"/>
      <c r="D80" s="512"/>
      <c r="E80" s="154" t="s">
        <v>116</v>
      </c>
    </row>
    <row r="81" spans="3:5" x14ac:dyDescent="0.3">
      <c r="C81" s="486"/>
      <c r="D81" s="512"/>
      <c r="E81" s="154" t="s">
        <v>117</v>
      </c>
    </row>
    <row r="82" spans="3:5" x14ac:dyDescent="0.3">
      <c r="C82" s="487"/>
      <c r="D82" s="512"/>
      <c r="E82" s="155" t="s">
        <v>118</v>
      </c>
    </row>
    <row r="86" spans="3:5" x14ac:dyDescent="0.3">
      <c r="D86" s="513" t="s">
        <v>119</v>
      </c>
      <c r="E86" s="158" t="s">
        <v>120</v>
      </c>
    </row>
    <row r="87" spans="3:5" x14ac:dyDescent="0.3">
      <c r="D87" s="514"/>
      <c r="E87" s="159" t="s">
        <v>121</v>
      </c>
    </row>
    <row r="88" spans="3:5" x14ac:dyDescent="0.3">
      <c r="D88" s="514"/>
      <c r="E88" s="159" t="s">
        <v>122</v>
      </c>
    </row>
    <row r="89" spans="3:5" x14ac:dyDescent="0.3">
      <c r="D89" s="514"/>
      <c r="E89" s="159" t="s">
        <v>123</v>
      </c>
    </row>
    <row r="90" spans="3:5" x14ac:dyDescent="0.3">
      <c r="D90" s="514"/>
      <c r="E90" s="159"/>
    </row>
    <row r="91" spans="3:5" x14ac:dyDescent="0.3">
      <c r="D91" s="514"/>
      <c r="E91" s="159"/>
    </row>
    <row r="92" spans="3:5" x14ac:dyDescent="0.3">
      <c r="D92" s="514"/>
      <c r="E92" s="159"/>
    </row>
    <row r="93" spans="3:5" x14ac:dyDescent="0.3">
      <c r="D93" s="515"/>
      <c r="E93" s="160"/>
    </row>
    <row r="97" spans="3:5" x14ac:dyDescent="0.3">
      <c r="C97" s="500" t="s">
        <v>58</v>
      </c>
      <c r="D97" s="502" t="s">
        <v>124</v>
      </c>
      <c r="E97" s="161" t="s">
        <v>125</v>
      </c>
    </row>
    <row r="98" spans="3:5" x14ac:dyDescent="0.3">
      <c r="C98" s="501"/>
      <c r="D98" s="502"/>
      <c r="E98" s="161" t="s">
        <v>126</v>
      </c>
    </row>
    <row r="99" spans="3:5" x14ac:dyDescent="0.3">
      <c r="C99" s="501"/>
      <c r="D99" s="502"/>
      <c r="E99" s="161" t="s">
        <v>127</v>
      </c>
    </row>
    <row r="100" spans="3:5" x14ac:dyDescent="0.3">
      <c r="C100" s="501"/>
      <c r="D100" s="502"/>
      <c r="E100" s="161" t="s">
        <v>128</v>
      </c>
    </row>
    <row r="101" spans="3:5" x14ac:dyDescent="0.3">
      <c r="C101" s="501"/>
      <c r="D101" s="502"/>
      <c r="E101" s="161" t="s">
        <v>129</v>
      </c>
    </row>
    <row r="105" spans="3:5" x14ac:dyDescent="0.3">
      <c r="D105" s="490" t="s">
        <v>130</v>
      </c>
      <c r="E105" s="162" t="s">
        <v>64</v>
      </c>
    </row>
    <row r="106" spans="3:5" x14ac:dyDescent="0.3">
      <c r="D106" s="490"/>
      <c r="E106" s="162" t="s">
        <v>65</v>
      </c>
    </row>
    <row r="107" spans="3:5" x14ac:dyDescent="0.3">
      <c r="D107" s="490"/>
      <c r="E107" s="162"/>
    </row>
    <row r="108" spans="3:5" x14ac:dyDescent="0.3">
      <c r="D108" s="490"/>
      <c r="E108" s="162"/>
    </row>
    <row r="109" spans="3:5" x14ac:dyDescent="0.3">
      <c r="D109" s="490"/>
      <c r="E109" s="162"/>
    </row>
    <row r="110" spans="3:5" x14ac:dyDescent="0.3">
      <c r="D110" s="490"/>
      <c r="E110" s="162"/>
    </row>
    <row r="111" spans="3:5" x14ac:dyDescent="0.3">
      <c r="D111" s="490"/>
      <c r="E111" s="162"/>
    </row>
    <row r="112" spans="3:5" x14ac:dyDescent="0.3">
      <c r="D112" s="490"/>
      <c r="E112" s="162"/>
    </row>
    <row r="113" spans="3:5" x14ac:dyDescent="0.3">
      <c r="D113" s="490"/>
      <c r="E113" s="162"/>
    </row>
    <row r="114" spans="3:5" x14ac:dyDescent="0.3">
      <c r="D114" s="490"/>
      <c r="E114" s="162"/>
    </row>
    <row r="115" spans="3:5" x14ac:dyDescent="0.3">
      <c r="D115" s="490"/>
      <c r="E115" s="162"/>
    </row>
    <row r="119" spans="3:5" x14ac:dyDescent="0.3">
      <c r="C119" s="491" t="s">
        <v>58</v>
      </c>
      <c r="D119" s="493" t="s">
        <v>37</v>
      </c>
      <c r="E119" s="163" t="s">
        <v>131</v>
      </c>
    </row>
    <row r="120" spans="3:5" x14ac:dyDescent="0.3">
      <c r="C120" s="492"/>
      <c r="D120" s="493"/>
      <c r="E120" s="164"/>
    </row>
    <row r="121" spans="3:5" x14ac:dyDescent="0.3">
      <c r="C121" s="492"/>
      <c r="D121" s="493"/>
      <c r="E121" s="164"/>
    </row>
    <row r="122" spans="3:5" x14ac:dyDescent="0.3">
      <c r="C122" s="492"/>
      <c r="D122" s="493"/>
      <c r="E122" s="165"/>
    </row>
    <row r="123" spans="3:5" x14ac:dyDescent="0.3">
      <c r="C123" s="492"/>
      <c r="D123" s="493"/>
      <c r="E123" s="166"/>
    </row>
    <row r="127" spans="3:5" x14ac:dyDescent="0.3">
      <c r="C127" s="494" t="s">
        <v>58</v>
      </c>
      <c r="D127" s="497" t="s">
        <v>132</v>
      </c>
      <c r="E127" s="167" t="s">
        <v>133</v>
      </c>
    </row>
    <row r="128" spans="3:5" x14ac:dyDescent="0.3">
      <c r="C128" s="495"/>
      <c r="D128" s="498"/>
      <c r="E128" s="167" t="s">
        <v>134</v>
      </c>
    </row>
    <row r="129" spans="3:5" x14ac:dyDescent="0.3">
      <c r="C129" s="495"/>
      <c r="D129" s="498"/>
      <c r="E129" s="168"/>
    </row>
    <row r="130" spans="3:5" x14ac:dyDescent="0.3">
      <c r="C130" s="496"/>
      <c r="D130" s="499"/>
      <c r="E130" s="169"/>
    </row>
    <row r="134" spans="3:5" x14ac:dyDescent="0.3">
      <c r="C134" s="485" t="s">
        <v>58</v>
      </c>
      <c r="D134" s="488" t="s">
        <v>159</v>
      </c>
      <c r="E134" s="170" t="s">
        <v>159</v>
      </c>
    </row>
    <row r="135" spans="3:5" x14ac:dyDescent="0.3">
      <c r="C135" s="486"/>
      <c r="D135" s="489"/>
      <c r="E135" s="171"/>
    </row>
    <row r="136" spans="3:5" x14ac:dyDescent="0.3">
      <c r="C136" s="486"/>
      <c r="D136" s="489"/>
      <c r="E136" s="172"/>
    </row>
    <row r="137" spans="3:5" x14ac:dyDescent="0.3">
      <c r="C137" s="486"/>
      <c r="D137" s="489"/>
      <c r="E137" s="173"/>
    </row>
    <row r="138" spans="3:5" x14ac:dyDescent="0.3">
      <c r="C138" s="487"/>
      <c r="D138" s="489"/>
      <c r="E138" s="174"/>
    </row>
  </sheetData>
  <mergeCells count="21">
    <mergeCell ref="C97:C101"/>
    <mergeCell ref="D97:D101"/>
    <mergeCell ref="C3:C16"/>
    <mergeCell ref="D3:D6"/>
    <mergeCell ref="D8:D16"/>
    <mergeCell ref="C20:C31"/>
    <mergeCell ref="D20:D31"/>
    <mergeCell ref="C35:C47"/>
    <mergeCell ref="D35:D47"/>
    <mergeCell ref="C51:C67"/>
    <mergeCell ref="D51:D67"/>
    <mergeCell ref="C71:C82"/>
    <mergeCell ref="D71:D82"/>
    <mergeCell ref="D86:D93"/>
    <mergeCell ref="C134:C138"/>
    <mergeCell ref="D134:D138"/>
    <mergeCell ref="D105:D115"/>
    <mergeCell ref="C119:C123"/>
    <mergeCell ref="D119:D123"/>
    <mergeCell ref="C127:C130"/>
    <mergeCell ref="D127:D13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A67D-229B-48EA-9921-D500C084E355}">
  <dimension ref="A3:W42"/>
  <sheetViews>
    <sheetView topLeftCell="A15" workbookViewId="0">
      <selection activeCell="D15" sqref="D15"/>
    </sheetView>
  </sheetViews>
  <sheetFormatPr defaultRowHeight="14.4" x14ac:dyDescent="0.3"/>
  <cols>
    <col min="1" max="2" width="8.88671875" style="313"/>
    <col min="3" max="3" width="8.88671875" style="312"/>
    <col min="4" max="4" width="13.44140625" style="313" customWidth="1"/>
    <col min="5" max="5" width="32" style="313" customWidth="1"/>
    <col min="6" max="6" width="14" style="313" customWidth="1"/>
    <col min="7" max="7" width="12.88671875" style="314" customWidth="1"/>
    <col min="8" max="8" width="21.5546875" style="315" bestFit="1" customWidth="1"/>
    <col min="9" max="9" width="7.77734375" style="315" customWidth="1"/>
    <col min="10" max="10" width="25.6640625" style="315" bestFit="1" customWidth="1"/>
    <col min="11" max="11" width="5.77734375" style="315" customWidth="1"/>
    <col min="12" max="12" width="8.5546875" style="317" customWidth="1"/>
    <col min="13" max="13" width="5.88671875" style="313" customWidth="1"/>
    <col min="14" max="14" width="13.5546875" style="313" customWidth="1"/>
    <col min="15" max="16384" width="8.88671875" style="313"/>
  </cols>
  <sheetData>
    <row r="3" spans="1:23" s="310" customFormat="1" ht="30.6" customHeight="1" x14ac:dyDescent="0.3">
      <c r="A3" s="309"/>
      <c r="B3" s="309"/>
      <c r="C3" s="516" t="s">
        <v>137</v>
      </c>
      <c r="D3" s="516"/>
      <c r="E3" s="516"/>
      <c r="F3" s="516"/>
      <c r="G3" s="516"/>
      <c r="H3" s="516"/>
      <c r="I3" s="516"/>
      <c r="J3" s="516"/>
      <c r="K3" s="516"/>
      <c r="L3" s="516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</row>
    <row r="4" spans="1:23" s="310" customFormat="1" ht="24.6" customHeight="1" x14ac:dyDescent="0.3">
      <c r="A4" s="311"/>
      <c r="B4" s="311"/>
      <c r="C4" s="517" t="s">
        <v>138</v>
      </c>
      <c r="D4" s="517"/>
      <c r="E4" s="517"/>
      <c r="F4" s="517"/>
      <c r="G4" s="517"/>
      <c r="H4" s="517"/>
      <c r="I4" s="517"/>
      <c r="J4" s="517"/>
      <c r="K4" s="517"/>
      <c r="L4" s="517"/>
      <c r="M4" s="311"/>
      <c r="N4" s="311"/>
      <c r="O4" s="309"/>
      <c r="P4" s="309"/>
      <c r="Q4" s="309"/>
      <c r="R4" s="309"/>
      <c r="S4" s="309"/>
      <c r="T4" s="309"/>
      <c r="U4" s="309"/>
      <c r="V4" s="309"/>
      <c r="W4" s="309"/>
    </row>
    <row r="5" spans="1:23" customFormat="1" ht="15" customHeight="1" x14ac:dyDescent="0.3">
      <c r="A5" s="312"/>
      <c r="B5" s="312"/>
      <c r="C5" s="312"/>
      <c r="D5" s="313"/>
      <c r="E5" s="313"/>
      <c r="F5" s="313"/>
      <c r="G5" s="314"/>
      <c r="H5" s="315"/>
      <c r="I5" s="315"/>
      <c r="J5" s="316"/>
      <c r="K5" s="315"/>
      <c r="L5" s="317"/>
      <c r="M5" s="312"/>
      <c r="N5" s="312"/>
      <c r="O5" s="312"/>
      <c r="P5" s="318"/>
      <c r="Q5" s="318"/>
      <c r="R5" s="318"/>
      <c r="S5" s="318"/>
      <c r="T5" s="318"/>
      <c r="U5" s="318"/>
      <c r="V5" s="318"/>
      <c r="W5" s="318"/>
    </row>
    <row r="6" spans="1:23" s="324" customFormat="1" ht="16.2" customHeight="1" x14ac:dyDescent="0.3">
      <c r="A6" s="319"/>
      <c r="B6" s="319"/>
      <c r="C6" s="319"/>
      <c r="D6" s="319" t="s">
        <v>139</v>
      </c>
      <c r="E6" s="319"/>
      <c r="F6" s="319"/>
      <c r="G6" s="320"/>
      <c r="H6" s="320"/>
      <c r="I6" s="320"/>
      <c r="J6" s="321">
        <f>'Presumido Industrialização'!U88</f>
        <v>2933188.4845192828</v>
      </c>
      <c r="K6" s="320"/>
      <c r="L6" s="322"/>
      <c r="M6" s="319"/>
      <c r="N6" s="319"/>
      <c r="O6" s="319"/>
      <c r="P6" s="323"/>
      <c r="Q6" s="323"/>
      <c r="R6" s="323"/>
      <c r="S6" s="323"/>
      <c r="T6" s="323"/>
      <c r="U6" s="323"/>
      <c r="V6" s="323"/>
      <c r="W6" s="323"/>
    </row>
    <row r="7" spans="1:23" customFormat="1" ht="15" customHeight="1" x14ac:dyDescent="0.3">
      <c r="A7" s="312"/>
      <c r="B7" s="312"/>
      <c r="C7" s="312"/>
      <c r="D7" s="313"/>
      <c r="E7" s="313"/>
      <c r="F7" s="313"/>
      <c r="G7" s="314"/>
      <c r="H7" s="316" t="s">
        <v>140</v>
      </c>
      <c r="I7" s="316"/>
      <c r="J7" s="315"/>
      <c r="K7" s="315"/>
      <c r="L7" s="317"/>
      <c r="M7" s="312"/>
      <c r="N7" s="312"/>
      <c r="O7" s="312"/>
      <c r="P7" s="318"/>
      <c r="Q7" s="318"/>
      <c r="R7" s="318"/>
      <c r="S7" s="318"/>
      <c r="T7" s="318"/>
      <c r="U7" s="318"/>
      <c r="V7" s="318"/>
      <c r="W7" s="318"/>
    </row>
    <row r="8" spans="1:23" customFormat="1" ht="15" customHeight="1" x14ac:dyDescent="0.3">
      <c r="A8" s="325"/>
      <c r="B8" s="325"/>
      <c r="C8" s="325" t="s">
        <v>141</v>
      </c>
      <c r="D8" s="326" t="s">
        <v>142</v>
      </c>
      <c r="E8" s="326"/>
      <c r="F8" s="326"/>
      <c r="G8" s="314"/>
      <c r="H8" s="315"/>
      <c r="I8" s="316"/>
      <c r="J8" s="326">
        <f>SUM(H9:H9)</f>
        <v>0</v>
      </c>
      <c r="K8" s="326"/>
      <c r="L8" s="317"/>
      <c r="M8" s="325"/>
      <c r="N8" s="325"/>
      <c r="O8" s="325"/>
      <c r="P8" s="318"/>
      <c r="Q8" s="318"/>
      <c r="R8" s="318"/>
      <c r="S8" s="318"/>
      <c r="T8" s="318"/>
      <c r="U8" s="318"/>
      <c r="V8" s="318"/>
      <c r="W8" s="318"/>
    </row>
    <row r="9" spans="1:23" customFormat="1" ht="15" customHeight="1" x14ac:dyDescent="0.3">
      <c r="A9" s="325"/>
      <c r="B9" s="325"/>
      <c r="C9" s="325"/>
      <c r="D9" s="327" t="s">
        <v>130</v>
      </c>
      <c r="E9" s="328"/>
      <c r="F9" s="329"/>
      <c r="G9" s="330"/>
      <c r="H9" s="331">
        <f>'Presumido Industrialização'!U88-'Presumido Industrialização'!U65</f>
        <v>0</v>
      </c>
      <c r="I9" s="316"/>
      <c r="J9" s="326"/>
      <c r="K9" s="326"/>
      <c r="L9" s="317"/>
      <c r="M9" s="325"/>
      <c r="N9" s="325"/>
      <c r="O9" s="325"/>
      <c r="P9" s="318"/>
      <c r="Q9" s="318"/>
      <c r="R9" s="318"/>
      <c r="S9" s="318"/>
      <c r="T9" s="318"/>
      <c r="U9" s="318"/>
      <c r="V9" s="318"/>
      <c r="W9" s="318"/>
    </row>
    <row r="10" spans="1:23" customFormat="1" ht="15" customHeight="1" x14ac:dyDescent="0.3">
      <c r="A10" s="325"/>
      <c r="B10" s="325"/>
      <c r="C10" s="325"/>
      <c r="D10" s="314"/>
      <c r="E10" s="314"/>
      <c r="F10" s="326"/>
      <c r="G10" s="314"/>
      <c r="H10" s="315"/>
      <c r="I10" s="316"/>
      <c r="J10" s="326"/>
      <c r="K10" s="326"/>
      <c r="L10" s="317"/>
      <c r="M10" s="325"/>
      <c r="N10" s="325"/>
      <c r="O10" s="325"/>
      <c r="P10" s="318"/>
      <c r="Q10" s="318"/>
      <c r="R10" s="318"/>
      <c r="S10" s="318"/>
      <c r="T10" s="318"/>
      <c r="U10" s="318"/>
      <c r="V10" s="318"/>
      <c r="W10" s="318"/>
    </row>
    <row r="11" spans="1:23" s="339" customFormat="1" ht="27" customHeight="1" x14ac:dyDescent="0.3">
      <c r="A11" s="332"/>
      <c r="B11" s="332"/>
      <c r="C11" s="332" t="s">
        <v>143</v>
      </c>
      <c r="D11" s="333" t="s">
        <v>144</v>
      </c>
      <c r="E11" s="333"/>
      <c r="F11" s="334"/>
      <c r="G11" s="335"/>
      <c r="H11" s="335"/>
      <c r="I11" s="335"/>
      <c r="J11" s="336">
        <f>J6-J8</f>
        <v>2933188.4845192828</v>
      </c>
      <c r="K11" s="333"/>
      <c r="L11" s="337"/>
      <c r="M11" s="332"/>
      <c r="N11" s="338">
        <v>1</v>
      </c>
      <c r="O11" s="332"/>
      <c r="P11" s="337"/>
      <c r="Q11" s="337"/>
      <c r="R11" s="337"/>
      <c r="S11" s="337"/>
      <c r="T11" s="337"/>
      <c r="U11" s="337"/>
      <c r="V11" s="337"/>
      <c r="W11" s="337"/>
    </row>
    <row r="12" spans="1:23" customFormat="1" ht="15" customHeight="1" x14ac:dyDescent="0.3">
      <c r="A12" s="325"/>
      <c r="B12" s="325"/>
      <c r="C12" s="325"/>
      <c r="D12" s="326"/>
      <c r="E12" s="326"/>
      <c r="F12" s="326"/>
      <c r="G12" s="314"/>
      <c r="H12" s="315"/>
      <c r="I12" s="315"/>
      <c r="J12" s="326"/>
      <c r="K12" s="326"/>
      <c r="L12" s="317"/>
      <c r="M12" s="325"/>
      <c r="N12" s="325"/>
      <c r="O12" s="325"/>
      <c r="P12" s="318"/>
      <c r="Q12" s="318"/>
      <c r="R12" s="318"/>
      <c r="S12" s="318"/>
      <c r="T12" s="318"/>
      <c r="U12" s="318"/>
      <c r="V12" s="318"/>
      <c r="W12" s="318"/>
    </row>
    <row r="13" spans="1:23" customFormat="1" ht="15" customHeight="1" x14ac:dyDescent="0.3">
      <c r="A13" s="325"/>
      <c r="B13" s="325"/>
      <c r="C13" s="325" t="s">
        <v>141</v>
      </c>
      <c r="D13" s="326" t="s">
        <v>165</v>
      </c>
      <c r="E13" s="326"/>
      <c r="F13" s="326"/>
      <c r="G13" s="314"/>
      <c r="H13" s="315"/>
      <c r="I13" s="316"/>
      <c r="J13" s="326">
        <f>SUM(H14:H18)</f>
        <v>1737327.5393807713</v>
      </c>
      <c r="K13" s="326"/>
      <c r="L13" s="317">
        <f>J13/$J$11</f>
        <v>0.59230000000000005</v>
      </c>
      <c r="M13" s="325"/>
      <c r="N13" s="325"/>
      <c r="O13" s="325"/>
      <c r="P13" s="318"/>
      <c r="Q13" s="318"/>
      <c r="R13" s="318"/>
      <c r="S13" s="318"/>
      <c r="T13" s="318"/>
      <c r="U13" s="318"/>
      <c r="V13" s="318"/>
      <c r="W13" s="318"/>
    </row>
    <row r="14" spans="1:23" customFormat="1" ht="15" customHeight="1" x14ac:dyDescent="0.3">
      <c r="A14" s="325"/>
      <c r="B14" s="325"/>
      <c r="C14" s="325"/>
      <c r="D14" s="327" t="s">
        <v>166</v>
      </c>
      <c r="E14" s="328"/>
      <c r="F14" s="329"/>
      <c r="G14" s="330">
        <f>H14/J11</f>
        <v>0.04</v>
      </c>
      <c r="H14" s="357">
        <f>'Presumido Industrialização'!U52</f>
        <v>117327.53938077131</v>
      </c>
      <c r="I14" s="316"/>
      <c r="J14" s="326"/>
      <c r="K14" s="326"/>
      <c r="L14" s="317"/>
      <c r="M14" s="325"/>
      <c r="N14" s="325"/>
      <c r="O14" s="325"/>
      <c r="P14" s="318"/>
      <c r="Q14" s="318"/>
      <c r="R14" s="318"/>
      <c r="S14" s="318"/>
      <c r="T14" s="318"/>
      <c r="U14" s="318"/>
      <c r="V14" s="318"/>
      <c r="W14" s="318"/>
    </row>
    <row r="15" spans="1:23" customFormat="1" ht="15" customHeight="1" x14ac:dyDescent="0.3">
      <c r="A15" s="325"/>
      <c r="B15" s="325"/>
      <c r="C15" s="325"/>
      <c r="D15" s="326"/>
      <c r="E15" s="326"/>
      <c r="F15" s="326"/>
      <c r="G15" s="314"/>
      <c r="H15" s="315"/>
      <c r="I15" s="315"/>
      <c r="J15" s="326"/>
      <c r="K15" s="326"/>
      <c r="L15" s="317"/>
      <c r="M15" s="325"/>
      <c r="N15" s="325"/>
      <c r="O15" s="325"/>
      <c r="P15" s="318"/>
      <c r="Q15" s="318"/>
      <c r="R15" s="318"/>
      <c r="S15" s="318"/>
      <c r="T15" s="318"/>
      <c r="U15" s="318"/>
      <c r="V15" s="318"/>
      <c r="W15" s="318"/>
    </row>
    <row r="16" spans="1:23" customFormat="1" ht="15" customHeight="1" x14ac:dyDescent="0.3">
      <c r="A16" s="325"/>
      <c r="B16" s="325"/>
      <c r="C16" s="325" t="s">
        <v>141</v>
      </c>
      <c r="D16" s="326" t="s">
        <v>145</v>
      </c>
      <c r="E16" s="326"/>
      <c r="F16" s="314"/>
      <c r="G16" s="314"/>
      <c r="H16" s="315"/>
      <c r="I16" s="315"/>
      <c r="J16" s="315"/>
      <c r="K16" s="315"/>
      <c r="L16" s="317"/>
      <c r="M16" s="325"/>
      <c r="N16" s="325"/>
      <c r="O16" s="325"/>
      <c r="P16" s="318"/>
      <c r="Q16" s="318"/>
      <c r="R16" s="318"/>
      <c r="S16" s="318"/>
      <c r="T16" s="318"/>
      <c r="U16" s="318"/>
      <c r="V16" s="318"/>
      <c r="W16" s="318"/>
    </row>
    <row r="17" spans="1:23" customFormat="1" ht="15" customHeight="1" x14ac:dyDescent="0.3">
      <c r="A17" s="312"/>
      <c r="B17" s="312"/>
      <c r="C17" s="312"/>
      <c r="D17" s="147" t="s">
        <v>146</v>
      </c>
      <c r="E17" s="147"/>
      <c r="F17" s="340"/>
      <c r="G17" s="341">
        <f>H17/$J$11</f>
        <v>0.46706851851851855</v>
      </c>
      <c r="H17" s="342">
        <f>'Presumido Industrialização'!U39</f>
        <v>1370000</v>
      </c>
      <c r="I17" s="315"/>
      <c r="J17" s="315"/>
      <c r="K17" s="315"/>
      <c r="L17" s="317"/>
      <c r="M17" s="312"/>
      <c r="N17" s="312"/>
      <c r="O17" s="312"/>
      <c r="P17" s="318"/>
      <c r="Q17" s="318"/>
      <c r="R17" s="318"/>
      <c r="S17" s="318"/>
      <c r="T17" s="318"/>
      <c r="U17" s="318"/>
      <c r="V17" s="318"/>
      <c r="W17" s="318"/>
    </row>
    <row r="18" spans="1:23" customFormat="1" ht="15" customHeight="1" x14ac:dyDescent="0.3">
      <c r="A18" s="312"/>
      <c r="B18" s="312"/>
      <c r="C18" s="312"/>
      <c r="D18" s="343" t="s">
        <v>161</v>
      </c>
      <c r="E18" s="343"/>
      <c r="F18" s="344"/>
      <c r="G18" s="345">
        <f>H18/$J$11</f>
        <v>8.5231481481481491E-2</v>
      </c>
      <c r="H18" s="342">
        <f>'Presumido Industrialização'!U40</f>
        <v>250000</v>
      </c>
      <c r="I18" s="315"/>
      <c r="J18" s="315"/>
      <c r="K18" s="315"/>
      <c r="L18" s="317"/>
      <c r="M18" s="312"/>
      <c r="N18" s="312"/>
      <c r="O18" s="312"/>
      <c r="P18" s="318"/>
      <c r="Q18" s="318"/>
      <c r="R18" s="318"/>
      <c r="S18" s="318"/>
      <c r="T18" s="318"/>
      <c r="U18" s="318"/>
      <c r="V18" s="318"/>
      <c r="W18" s="318"/>
    </row>
    <row r="19" spans="1:23" customFormat="1" ht="15" customHeight="1" x14ac:dyDescent="0.3">
      <c r="A19" s="312"/>
      <c r="B19" s="312"/>
      <c r="C19" s="312"/>
      <c r="D19" s="313"/>
      <c r="E19" s="313"/>
      <c r="F19" s="313"/>
      <c r="G19" s="314"/>
      <c r="H19" s="315"/>
      <c r="I19" s="315"/>
      <c r="J19" s="315"/>
      <c r="K19" s="315"/>
      <c r="L19" s="317"/>
      <c r="M19" s="312"/>
      <c r="N19" s="312"/>
      <c r="O19" s="312"/>
      <c r="P19" s="318"/>
      <c r="Q19" s="318"/>
      <c r="R19" s="318"/>
      <c r="S19" s="318"/>
      <c r="T19" s="318"/>
      <c r="U19" s="318"/>
      <c r="V19" s="318"/>
      <c r="W19" s="318"/>
    </row>
    <row r="20" spans="1:23" customFormat="1" ht="15" customHeight="1" x14ac:dyDescent="0.3">
      <c r="A20" s="346"/>
      <c r="B20" s="346"/>
      <c r="C20" s="346" t="s">
        <v>143</v>
      </c>
      <c r="D20" s="347" t="s">
        <v>147</v>
      </c>
      <c r="E20" s="347"/>
      <c r="F20" s="347"/>
      <c r="G20" s="348"/>
      <c r="H20" s="349"/>
      <c r="I20" s="349"/>
      <c r="J20" s="350">
        <f>J11-J13</f>
        <v>1195860.9451385115</v>
      </c>
      <c r="K20" s="350"/>
      <c r="L20" s="351"/>
      <c r="M20" s="346"/>
      <c r="N20" s="352">
        <f>N11-L13</f>
        <v>0.40769999999999995</v>
      </c>
      <c r="O20" s="346"/>
      <c r="P20" s="146"/>
      <c r="Q20" s="146"/>
      <c r="R20" s="146"/>
      <c r="S20" s="146"/>
      <c r="T20" s="146"/>
      <c r="U20" s="146"/>
      <c r="V20" s="146"/>
      <c r="W20" s="146"/>
    </row>
    <row r="21" spans="1:23" customFormat="1" ht="15" customHeight="1" x14ac:dyDescent="0.3">
      <c r="A21" s="312"/>
      <c r="B21" s="312"/>
      <c r="C21" s="312"/>
      <c r="D21" s="313"/>
      <c r="E21" s="313"/>
      <c r="F21" s="313"/>
      <c r="G21" s="314"/>
      <c r="H21" s="315"/>
      <c r="I21" s="315"/>
      <c r="J21" s="315"/>
      <c r="K21" s="315"/>
      <c r="L21" s="317"/>
      <c r="M21" s="312"/>
      <c r="N21" s="312"/>
      <c r="O21" s="312"/>
      <c r="P21" s="318"/>
      <c r="Q21" s="318"/>
      <c r="R21" s="318"/>
      <c r="S21" s="318"/>
      <c r="T21" s="318"/>
      <c r="U21" s="318"/>
      <c r="V21" s="318"/>
      <c r="W21" s="318"/>
    </row>
    <row r="22" spans="1:23" customFormat="1" ht="15" customHeight="1" x14ac:dyDescent="0.3">
      <c r="A22" s="325"/>
      <c r="B22" s="325"/>
      <c r="C22" s="325" t="s">
        <v>141</v>
      </c>
      <c r="D22" s="326" t="s">
        <v>148</v>
      </c>
      <c r="E22" s="326"/>
      <c r="F22" s="326"/>
      <c r="G22" s="314"/>
      <c r="H22" s="315"/>
      <c r="I22" s="315"/>
      <c r="J22" s="353">
        <f>SUM(H23:H26)</f>
        <v>842118.413905486</v>
      </c>
      <c r="K22" s="353"/>
      <c r="L22" s="317">
        <f>J22/$J$11</f>
        <v>0.28709999999999997</v>
      </c>
      <c r="M22" s="325"/>
      <c r="N22" s="325"/>
      <c r="O22" s="325"/>
      <c r="P22" s="318"/>
      <c r="Q22" s="318"/>
      <c r="R22" s="318"/>
      <c r="S22" s="318"/>
      <c r="T22" s="318"/>
      <c r="U22" s="318"/>
      <c r="V22" s="318"/>
      <c r="W22" s="318"/>
    </row>
    <row r="23" spans="1:23" customFormat="1" ht="15" customHeight="1" x14ac:dyDescent="0.3">
      <c r="A23" s="312"/>
      <c r="B23" s="312"/>
      <c r="C23" s="312"/>
      <c r="D23" s="354" t="s">
        <v>149</v>
      </c>
      <c r="E23" s="354"/>
      <c r="F23" s="355"/>
      <c r="G23" s="356">
        <f>H23/$J$11</f>
        <v>6.2199999999999998E-2</v>
      </c>
      <c r="H23" s="357">
        <f>'Presumido Industrialização'!U45</f>
        <v>182444.32373709939</v>
      </c>
      <c r="I23" s="315"/>
      <c r="J23" s="315"/>
      <c r="K23" s="315"/>
      <c r="L23" s="317"/>
      <c r="M23" s="312"/>
      <c r="N23" s="312"/>
      <c r="O23" s="312"/>
      <c r="P23" s="318"/>
      <c r="Q23" s="318"/>
      <c r="R23" s="318"/>
      <c r="S23" s="318"/>
      <c r="T23" s="318"/>
      <c r="U23" s="318"/>
      <c r="V23" s="318"/>
      <c r="W23" s="318"/>
    </row>
    <row r="24" spans="1:23" customFormat="1" ht="15" customHeight="1" x14ac:dyDescent="0.3">
      <c r="A24" s="312"/>
      <c r="B24" s="312"/>
      <c r="C24" s="312"/>
      <c r="D24" s="145" t="s">
        <v>150</v>
      </c>
      <c r="E24" s="145"/>
      <c r="F24" s="146"/>
      <c r="G24" s="358">
        <f>H24/$J$11</f>
        <v>0.10489999999999999</v>
      </c>
      <c r="H24" s="357">
        <f>'Presumido Industrialização'!U46</f>
        <v>307691.47202607273</v>
      </c>
      <c r="I24" s="315"/>
      <c r="J24" s="315"/>
      <c r="K24" s="315"/>
      <c r="L24" s="317"/>
      <c r="M24" s="312"/>
      <c r="N24" s="312"/>
      <c r="O24" s="312"/>
      <c r="P24" s="318"/>
      <c r="Q24" s="318"/>
      <c r="R24" s="318"/>
      <c r="S24" s="318"/>
      <c r="T24" s="318"/>
      <c r="U24" s="318"/>
      <c r="V24" s="318"/>
      <c r="W24" s="318"/>
    </row>
    <row r="25" spans="1:23" customFormat="1" ht="15" customHeight="1" x14ac:dyDescent="0.3">
      <c r="A25" s="312"/>
      <c r="B25" s="312"/>
      <c r="C25" s="312"/>
      <c r="D25" s="359" t="s">
        <v>151</v>
      </c>
      <c r="E25" s="359"/>
      <c r="F25" s="360"/>
      <c r="G25" s="361">
        <f>H25/$J$11</f>
        <v>0.06</v>
      </c>
      <c r="H25" s="357">
        <f>'Presumido Industrialização'!U47</f>
        <v>175991.30907115695</v>
      </c>
      <c r="I25" s="315"/>
      <c r="J25" s="315"/>
      <c r="K25" s="315"/>
      <c r="L25" s="317"/>
      <c r="M25" s="312"/>
      <c r="N25" s="312"/>
      <c r="O25" s="312"/>
      <c r="P25" s="318"/>
      <c r="Q25" s="318"/>
      <c r="R25" s="318"/>
      <c r="S25" s="318"/>
      <c r="T25" s="318"/>
      <c r="U25" s="318"/>
      <c r="V25" s="318"/>
      <c r="W25" s="318"/>
    </row>
    <row r="26" spans="1:23" customFormat="1" ht="15" customHeight="1" x14ac:dyDescent="0.3">
      <c r="A26" s="312"/>
      <c r="B26" s="312"/>
      <c r="C26" s="312"/>
      <c r="D26" s="188" t="s">
        <v>37</v>
      </c>
      <c r="E26" s="188"/>
      <c r="F26" s="362"/>
      <c r="G26" s="363">
        <f>H26/$J$11</f>
        <v>0.06</v>
      </c>
      <c r="H26" s="357">
        <f>'Presumido Industrialização'!U56</f>
        <v>175991.30907115695</v>
      </c>
      <c r="I26" s="315"/>
      <c r="J26" s="315"/>
      <c r="K26" s="315"/>
      <c r="L26" s="317"/>
      <c r="M26" s="312"/>
      <c r="N26" s="312"/>
      <c r="O26" s="312"/>
      <c r="P26" s="318"/>
      <c r="Q26" s="318"/>
      <c r="R26" s="318"/>
      <c r="S26" s="318"/>
      <c r="T26" s="318"/>
      <c r="U26" s="318"/>
      <c r="V26" s="318"/>
      <c r="W26" s="318"/>
    </row>
    <row r="27" spans="1:23" customFormat="1" ht="15" customHeight="1" x14ac:dyDescent="0.3">
      <c r="A27" s="312"/>
      <c r="B27" s="312"/>
      <c r="C27" s="312"/>
      <c r="D27" s="313"/>
      <c r="E27" s="313"/>
      <c r="F27" s="313"/>
      <c r="G27" s="314"/>
      <c r="H27" s="315"/>
      <c r="I27" s="315"/>
      <c r="J27" s="315"/>
      <c r="K27" s="315"/>
      <c r="L27" s="317"/>
      <c r="M27" s="312"/>
      <c r="N27" s="312"/>
      <c r="O27" s="312"/>
      <c r="P27" s="318"/>
      <c r="Q27" s="318"/>
      <c r="R27" s="318"/>
      <c r="S27" s="318"/>
      <c r="T27" s="318"/>
      <c r="U27" s="318"/>
      <c r="V27" s="318"/>
      <c r="W27" s="318"/>
    </row>
    <row r="28" spans="1:23" customFormat="1" ht="15" customHeight="1" x14ac:dyDescent="0.3">
      <c r="A28" s="364"/>
      <c r="B28" s="364"/>
      <c r="C28" s="364" t="s">
        <v>143</v>
      </c>
      <c r="D28" s="365" t="s">
        <v>152</v>
      </c>
      <c r="E28" s="365"/>
      <c r="F28" s="366"/>
      <c r="G28" s="367"/>
      <c r="H28" s="368"/>
      <c r="I28" s="368"/>
      <c r="J28" s="369">
        <f>J20-J22</f>
        <v>353742.53123302548</v>
      </c>
      <c r="K28" s="369"/>
      <c r="L28" s="370"/>
      <c r="M28" s="364"/>
      <c r="N28" s="371">
        <f>N20-L22</f>
        <v>0.12059999999999998</v>
      </c>
      <c r="O28" s="364"/>
      <c r="P28" s="127"/>
      <c r="Q28" s="127"/>
      <c r="R28" s="127"/>
      <c r="S28" s="127"/>
      <c r="T28" s="127"/>
      <c r="U28" s="127"/>
      <c r="V28" s="127"/>
      <c r="W28" s="127"/>
    </row>
    <row r="29" spans="1:23" customFormat="1" ht="15" customHeight="1" x14ac:dyDescent="0.3">
      <c r="A29" s="312"/>
      <c r="B29" s="312"/>
      <c r="C29" s="312"/>
      <c r="D29" s="313"/>
      <c r="E29" s="313"/>
      <c r="F29" s="313"/>
      <c r="G29" s="314"/>
      <c r="H29" s="315"/>
      <c r="I29" s="315"/>
      <c r="J29" s="315"/>
      <c r="K29" s="315"/>
      <c r="L29" s="317"/>
      <c r="M29" s="312"/>
      <c r="N29" s="312"/>
      <c r="O29" s="312"/>
      <c r="P29" s="318"/>
      <c r="Q29" s="318"/>
      <c r="R29" s="318"/>
      <c r="S29" s="318"/>
      <c r="T29" s="318"/>
      <c r="U29" s="318"/>
      <c r="V29" s="318"/>
      <c r="W29" s="318"/>
    </row>
    <row r="30" spans="1:23" customFormat="1" ht="15" customHeight="1" x14ac:dyDescent="0.3">
      <c r="A30" s="325"/>
      <c r="B30" s="325"/>
      <c r="C30" s="325" t="s">
        <v>141</v>
      </c>
      <c r="D30" s="326" t="s">
        <v>124</v>
      </c>
      <c r="E30" s="326"/>
      <c r="F30" s="326"/>
      <c r="G30" s="314"/>
      <c r="H30" s="315"/>
      <c r="I30" s="315"/>
      <c r="J30" s="353">
        <f>H31</f>
        <v>1759.9130907115696</v>
      </c>
      <c r="K30" s="353"/>
      <c r="L30" s="317">
        <f>J30/$J$11</f>
        <v>5.9999999999999995E-4</v>
      </c>
      <c r="M30" s="325"/>
      <c r="N30" s="325"/>
      <c r="O30" s="325"/>
      <c r="P30" s="318"/>
      <c r="Q30" s="318"/>
      <c r="R30" s="318"/>
      <c r="S30" s="318"/>
      <c r="T30" s="318"/>
      <c r="U30" s="318"/>
      <c r="V30" s="318"/>
      <c r="W30" s="318"/>
    </row>
    <row r="31" spans="1:23" customFormat="1" ht="15" customHeight="1" x14ac:dyDescent="0.3">
      <c r="A31" s="312"/>
      <c r="B31" s="312"/>
      <c r="C31" s="312"/>
      <c r="D31" s="141" t="s">
        <v>153</v>
      </c>
      <c r="E31" s="141"/>
      <c r="F31" s="140"/>
      <c r="G31" s="372">
        <f>H31/J11</f>
        <v>5.9999999999999995E-4</v>
      </c>
      <c r="H31" s="342">
        <f>'Presumido Industrialização'!U48</f>
        <v>1759.9130907115696</v>
      </c>
      <c r="I31" s="315"/>
      <c r="J31" s="315"/>
      <c r="K31" s="315"/>
      <c r="L31" s="317"/>
      <c r="M31" s="312"/>
      <c r="N31" s="312"/>
      <c r="O31" s="312"/>
      <c r="P31" s="318"/>
      <c r="Q31" s="318"/>
      <c r="R31" s="318"/>
      <c r="S31" s="318"/>
      <c r="T31" s="318"/>
      <c r="U31" s="318"/>
      <c r="V31" s="318"/>
      <c r="W31" s="318"/>
    </row>
    <row r="32" spans="1:23" customFormat="1" ht="15" customHeight="1" x14ac:dyDescent="0.3">
      <c r="A32" s="312"/>
      <c r="B32" s="312"/>
      <c r="C32" s="312"/>
      <c r="D32" s="313"/>
      <c r="E32" s="313"/>
      <c r="F32" s="313"/>
      <c r="G32" s="314"/>
      <c r="H32" s="315"/>
      <c r="I32" s="315"/>
      <c r="J32" s="315"/>
      <c r="K32" s="315"/>
      <c r="L32" s="317"/>
      <c r="M32" s="312"/>
      <c r="N32" s="312"/>
      <c r="O32" s="312"/>
      <c r="P32" s="318"/>
      <c r="Q32" s="318"/>
      <c r="R32" s="318"/>
      <c r="S32" s="318"/>
      <c r="T32" s="318"/>
      <c r="U32" s="318"/>
      <c r="V32" s="318"/>
      <c r="W32" s="318"/>
    </row>
    <row r="33" spans="1:23" customFormat="1" ht="15" customHeight="1" x14ac:dyDescent="0.3">
      <c r="A33" s="346"/>
      <c r="B33" s="346"/>
      <c r="C33" s="346" t="s">
        <v>143</v>
      </c>
      <c r="D33" s="350" t="s">
        <v>154</v>
      </c>
      <c r="E33" s="350"/>
      <c r="F33" s="373"/>
      <c r="G33" s="348"/>
      <c r="H33" s="349"/>
      <c r="I33" s="349"/>
      <c r="J33" s="374">
        <f>J28-J30</f>
        <v>351982.61814231391</v>
      </c>
      <c r="K33" s="374"/>
      <c r="L33" s="351"/>
      <c r="M33" s="346"/>
      <c r="N33" s="352">
        <f>N28-L30</f>
        <v>0.11999999999999998</v>
      </c>
      <c r="O33" s="346"/>
      <c r="P33" s="146"/>
      <c r="Q33" s="146"/>
      <c r="R33" s="146"/>
      <c r="S33" s="146"/>
      <c r="T33" s="146"/>
      <c r="U33" s="146"/>
      <c r="V33" s="146"/>
      <c r="W33" s="146"/>
    </row>
    <row r="34" spans="1:23" customFormat="1" ht="15" customHeight="1" x14ac:dyDescent="0.3">
      <c r="A34" s="312"/>
      <c r="B34" s="312"/>
      <c r="C34" s="312"/>
      <c r="D34" s="313"/>
      <c r="E34" s="313"/>
      <c r="F34" s="313"/>
      <c r="G34" s="376"/>
      <c r="H34" s="315"/>
      <c r="I34" s="315"/>
      <c r="J34" s="315"/>
      <c r="K34" s="315"/>
      <c r="L34" s="317"/>
      <c r="M34" s="312"/>
      <c r="N34" s="312"/>
      <c r="O34" s="312"/>
      <c r="P34" s="318"/>
      <c r="Q34" s="318"/>
      <c r="R34" s="318"/>
      <c r="S34" s="318"/>
      <c r="T34" s="318"/>
      <c r="U34" s="318"/>
      <c r="V34" s="318"/>
      <c r="W34" s="318"/>
    </row>
    <row r="35" spans="1:23" s="383" customFormat="1" ht="34.799999999999997" customHeight="1" x14ac:dyDescent="0.3">
      <c r="A35" s="377"/>
      <c r="B35" s="377"/>
      <c r="C35" s="377"/>
      <c r="D35" s="336"/>
      <c r="E35" s="336"/>
      <c r="F35" s="378"/>
      <c r="G35" s="336"/>
      <c r="H35" s="379" t="s">
        <v>155</v>
      </c>
      <c r="I35" s="379"/>
      <c r="J35" s="380">
        <f>J33</f>
        <v>351982.61814231391</v>
      </c>
      <c r="K35" s="336"/>
      <c r="L35" s="381"/>
      <c r="M35" s="377"/>
      <c r="N35" s="381">
        <f>J35/J11</f>
        <v>0.12</v>
      </c>
      <c r="O35" s="382"/>
    </row>
    <row r="36" spans="1:23" customFormat="1" ht="15" customHeight="1" x14ac:dyDescent="0.3">
      <c r="A36" s="313"/>
      <c r="B36" s="313"/>
      <c r="C36" s="313"/>
      <c r="D36" s="313"/>
      <c r="E36" s="313"/>
      <c r="F36" s="313"/>
      <c r="G36" s="384"/>
      <c r="H36" s="313"/>
      <c r="I36" s="313"/>
      <c r="J36" s="313"/>
      <c r="K36" s="313"/>
      <c r="L36" s="385"/>
      <c r="M36" s="313"/>
      <c r="N36" s="313"/>
      <c r="O36" s="318"/>
      <c r="P36" s="318"/>
      <c r="Q36" s="318"/>
      <c r="R36" s="318"/>
      <c r="S36" s="318"/>
      <c r="T36" s="318"/>
      <c r="U36" s="318"/>
      <c r="V36" s="318"/>
      <c r="W36" s="318"/>
    </row>
    <row r="37" spans="1:23" customFormat="1" ht="15" customHeight="1" x14ac:dyDescent="0.3">
      <c r="A37" s="313"/>
      <c r="B37" s="313"/>
      <c r="C37" s="313"/>
      <c r="D37" s="313"/>
      <c r="E37" s="313"/>
      <c r="F37" s="313"/>
      <c r="G37" s="384"/>
      <c r="H37" s="313"/>
      <c r="I37" s="313"/>
      <c r="J37" s="313"/>
      <c r="K37" s="313"/>
      <c r="L37" s="385"/>
      <c r="M37" s="313"/>
      <c r="N37" s="313"/>
      <c r="O37" s="318"/>
      <c r="P37" s="318"/>
      <c r="Q37" s="318"/>
      <c r="R37" s="318"/>
      <c r="S37" s="318"/>
      <c r="T37" s="318"/>
      <c r="U37" s="318"/>
      <c r="V37" s="318"/>
      <c r="W37" s="318"/>
    </row>
    <row r="38" spans="1:23" ht="15.6" x14ac:dyDescent="0.3">
      <c r="C38" s="325"/>
      <c r="D38" s="326"/>
      <c r="E38" s="326"/>
      <c r="F38" s="315"/>
      <c r="G38" s="315"/>
      <c r="K38" s="353"/>
    </row>
    <row r="39" spans="1:23" x14ac:dyDescent="0.3">
      <c r="C39" s="318"/>
      <c r="D39" s="386"/>
      <c r="E39" s="386"/>
      <c r="G39" s="317"/>
      <c r="H39" s="375"/>
      <c r="I39" s="375"/>
    </row>
    <row r="40" spans="1:23" x14ac:dyDescent="0.3">
      <c r="C40" s="318"/>
      <c r="D40" s="386"/>
      <c r="E40" s="386"/>
      <c r="G40" s="317"/>
      <c r="H40" s="375"/>
      <c r="I40" s="375"/>
    </row>
    <row r="41" spans="1:23" x14ac:dyDescent="0.3">
      <c r="C41" s="318"/>
      <c r="D41" s="386"/>
      <c r="E41" s="386"/>
      <c r="G41" s="317"/>
      <c r="H41" s="375"/>
      <c r="I41" s="375"/>
    </row>
    <row r="42" spans="1:23" x14ac:dyDescent="0.3">
      <c r="D42" s="318"/>
      <c r="E42" s="318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Presumido Industrialização</vt:lpstr>
      <vt:lpstr>Categorias</vt:lpstr>
      <vt:lpstr>DRE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2026-03-09T19:42:20Z</dcterms:modified>
</cp:coreProperties>
</file>