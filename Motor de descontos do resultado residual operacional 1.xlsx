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614A938F-4FE7-458D-B572-96EF6F48129F}" xr6:coauthVersionLast="43" xr6:coauthVersionMax="43" xr10:uidLastSave="{00000000-0000-0000-0000-000000000000}"/>
  <bookViews>
    <workbookView xWindow="-108" yWindow="-108" windowWidth="23256" windowHeight="12456" xr2:uid="{68DD3B70-738E-4432-8548-97259B0F937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21" i="1" l="1"/>
  <c r="H36" i="1"/>
  <c r="H37" i="1"/>
  <c r="H35" i="1"/>
  <c r="H62" i="1"/>
  <c r="H43" i="1"/>
  <c r="H41" i="1"/>
  <c r="C19" i="1" l="1"/>
  <c r="G19" i="1" s="1"/>
  <c r="E56" i="1"/>
  <c r="F58" i="1" s="1"/>
  <c r="H13" i="1" l="1"/>
  <c r="H14" i="1"/>
  <c r="H11" i="1"/>
  <c r="H18" i="1"/>
  <c r="H12" i="1"/>
  <c r="H17" i="1"/>
  <c r="H23" i="1" s="1"/>
  <c r="F57" i="1"/>
  <c r="F60" i="1"/>
  <c r="F59" i="1"/>
  <c r="H24" i="1" l="1"/>
  <c r="H26" i="1" s="1"/>
  <c r="H28" i="1" s="1"/>
  <c r="I26" i="1" s="1"/>
  <c r="H31" i="1" l="1"/>
  <c r="I21" i="1"/>
  <c r="H42" i="1" l="1"/>
  <c r="H45" i="1"/>
  <c r="H54" i="1" s="1"/>
  <c r="I54" i="1" l="1"/>
  <c r="H57" i="1"/>
  <c r="H58" i="1"/>
  <c r="I58" i="1" s="1"/>
  <c r="H59" i="1"/>
  <c r="I59" i="1" s="1"/>
  <c r="H60" i="1"/>
  <c r="I60" i="1" s="1"/>
  <c r="I57" i="1" l="1"/>
  <c r="H65" i="1" l="1"/>
  <c r="H66" i="1"/>
  <c r="H72" i="1" s="1"/>
  <c r="H74" i="1" s="1"/>
</calcChain>
</file>

<file path=xl/sharedStrings.xml><?xml version="1.0" encoding="utf-8"?>
<sst xmlns="http://schemas.openxmlformats.org/spreadsheetml/2006/main" count="65" uniqueCount="51">
  <si>
    <t>Valor  do orçamento</t>
  </si>
  <si>
    <t>Desconto</t>
  </si>
  <si>
    <t>Valor pós desconto</t>
  </si>
  <si>
    <t>Desconto impostos</t>
  </si>
  <si>
    <t>ICMS</t>
  </si>
  <si>
    <t>PIS/COFINS</t>
  </si>
  <si>
    <t>Redução dos custos e despesas</t>
  </si>
  <si>
    <t>Custos</t>
  </si>
  <si>
    <t>MO Administrativa</t>
  </si>
  <si>
    <t>Desp.financeira</t>
  </si>
  <si>
    <t>Desp. Variável</t>
  </si>
  <si>
    <t>Desp.fixa</t>
  </si>
  <si>
    <t>Resultado residual operacional</t>
  </si>
  <si>
    <t>Redução proporcional</t>
  </si>
  <si>
    <t>Comissão</t>
  </si>
  <si>
    <t>Peso</t>
  </si>
  <si>
    <t>Lucro</t>
  </si>
  <si>
    <t>IRPJ</t>
  </si>
  <si>
    <t>CSLL</t>
  </si>
  <si>
    <t>Comissão final</t>
  </si>
  <si>
    <t>Etapa 1</t>
  </si>
  <si>
    <t>Etapa 2</t>
  </si>
  <si>
    <t>Etapa 3</t>
  </si>
  <si>
    <t>Etapa 4</t>
  </si>
  <si>
    <t>Custo produto</t>
  </si>
  <si>
    <t>Coeficiente</t>
  </si>
  <si>
    <t>Precificação do produto</t>
  </si>
  <si>
    <t>Operação de venda "por dentro"</t>
  </si>
  <si>
    <t>IBS</t>
  </si>
  <si>
    <t>CBS</t>
  </si>
  <si>
    <t>Operação de venda "por fora"</t>
  </si>
  <si>
    <t>Total geral de venda (por dentro + por fora)</t>
  </si>
  <si>
    <t>Total Operação de venda "por dentro"</t>
  </si>
  <si>
    <t>Total Operação de venda "por fora"</t>
  </si>
  <si>
    <t>Peso sobre o valor final</t>
  </si>
  <si>
    <t>Resultado do peso (por dentro / valor total)</t>
  </si>
  <si>
    <t>Resultado do peso (por fora / valor total)</t>
  </si>
  <si>
    <t>Motor de descontos do resultado residual operacional</t>
  </si>
  <si>
    <t>(Vlr pós desc. X ICMS)</t>
  </si>
  <si>
    <t>(Vlr pós desc. * ICMS) * PIS/COFINS</t>
  </si>
  <si>
    <t>Resultado pós dedução ICMS</t>
  </si>
  <si>
    <t>Resultado pós dedução impostos por dentro</t>
  </si>
  <si>
    <t>Impostos por fora</t>
  </si>
  <si>
    <t>IS</t>
  </si>
  <si>
    <t>IPI</t>
  </si>
  <si>
    <t>ICMS-ST</t>
  </si>
  <si>
    <t>DIFAL</t>
  </si>
  <si>
    <t>Deduções da operação "por dentro" por etapa, respeitando o efeito cascata</t>
  </si>
  <si>
    <t>Operação        "por fora"</t>
  </si>
  <si>
    <t>Total operações</t>
  </si>
  <si>
    <t>Âncora &lt;Operação de venda "por dentro"&gt;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</si>
</sst>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00%"/>
    <numFmt numFmtId="165" formatCode="_-&quot;R$&quot;\ * #,##0.000_-;\-&quot;R$&quot;\ * #,##0.000_-;_-&quot;R$&quot;\ * &quot;-&quot;???_-;_-@_-"/>
    <numFmt numFmtId="168" formatCode="0.0000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0000"/>
      <name val="Segoe UI"/>
      <family val="2"/>
    </font>
    <font>
      <sz val="8"/>
      <color rgb="FFFF0000"/>
      <name val="Segoe UI"/>
      <family val="2"/>
    </font>
    <font>
      <b/>
      <sz val="12"/>
      <color theme="0"/>
      <name val="Segoe U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C0000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2">
    <xf numFmtId="0" fontId="0" fillId="0" borderId="0" xfId="0"/>
    <xf numFmtId="44" fontId="0" fillId="0" borderId="0" xfId="1" applyFont="1"/>
    <xf numFmtId="164" fontId="0" fillId="0" borderId="0" xfId="2" applyNumberFormat="1" applyFont="1" applyAlignment="1">
      <alignment horizontal="center"/>
    </xf>
    <xf numFmtId="44" fontId="3" fillId="0" borderId="0" xfId="1" applyFont="1"/>
    <xf numFmtId="0" fontId="3" fillId="0" borderId="0" xfId="0" applyFont="1"/>
    <xf numFmtId="164" fontId="3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164" fontId="4" fillId="3" borderId="0" xfId="2" applyNumberFormat="1" applyFont="1" applyFill="1" applyAlignment="1">
      <alignment horizontal="center"/>
    </xf>
    <xf numFmtId="4" fontId="7" fillId="3" borderId="0" xfId="0" applyNumberFormat="1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164" fontId="4" fillId="2" borderId="0" xfId="2" applyNumberFormat="1" applyFont="1" applyFill="1" applyAlignment="1">
      <alignment horizontal="center"/>
    </xf>
    <xf numFmtId="44" fontId="4" fillId="2" borderId="0" xfId="1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164" fontId="4" fillId="4" borderId="0" xfId="2" applyNumberFormat="1" applyFont="1" applyFill="1" applyAlignment="1">
      <alignment horizontal="center"/>
    </xf>
    <xf numFmtId="44" fontId="4" fillId="4" borderId="0" xfId="1" applyFont="1" applyFill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164" fontId="4" fillId="5" borderId="0" xfId="2" applyNumberFormat="1" applyFont="1" applyFill="1" applyAlignment="1">
      <alignment horizontal="center"/>
    </xf>
    <xf numFmtId="44" fontId="2" fillId="5" borderId="0" xfId="1" applyFont="1" applyFill="1"/>
    <xf numFmtId="0" fontId="0" fillId="5" borderId="0" xfId="0" applyFill="1"/>
    <xf numFmtId="0" fontId="0" fillId="6" borderId="0" xfId="0" applyFill="1"/>
    <xf numFmtId="0" fontId="0" fillId="6" borderId="0" xfId="0" applyFont="1" applyFill="1"/>
    <xf numFmtId="0" fontId="0" fillId="6" borderId="0" xfId="2" applyNumberFormat="1" applyFont="1" applyFill="1" applyAlignment="1">
      <alignment horizontal="center"/>
    </xf>
    <xf numFmtId="0" fontId="0" fillId="6" borderId="0" xfId="0" applyFont="1" applyFill="1" applyAlignment="1">
      <alignment horizontal="center"/>
    </xf>
    <xf numFmtId="164" fontId="0" fillId="6" borderId="0" xfId="2" applyNumberFormat="1" applyFont="1" applyFill="1" applyAlignment="1">
      <alignment horizontal="center"/>
    </xf>
    <xf numFmtId="44" fontId="0" fillId="6" borderId="0" xfId="1" applyFont="1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164" fontId="0" fillId="7" borderId="0" xfId="2" applyNumberFormat="1" applyFont="1" applyFill="1" applyAlignment="1">
      <alignment horizontal="center"/>
    </xf>
    <xf numFmtId="44" fontId="0" fillId="7" borderId="0" xfId="1" applyFont="1" applyFill="1"/>
    <xf numFmtId="0" fontId="3" fillId="7" borderId="0" xfId="0" applyFont="1" applyFill="1"/>
    <xf numFmtId="0" fontId="3" fillId="7" borderId="0" xfId="0" applyFont="1" applyFill="1" applyAlignment="1">
      <alignment horizontal="center"/>
    </xf>
    <xf numFmtId="164" fontId="3" fillId="7" borderId="0" xfId="2" applyNumberFormat="1" applyFont="1" applyFill="1" applyAlignment="1">
      <alignment horizontal="center"/>
    </xf>
    <xf numFmtId="4" fontId="5" fillId="7" borderId="0" xfId="0" applyNumberFormat="1" applyFont="1" applyFill="1"/>
    <xf numFmtId="4" fontId="6" fillId="7" borderId="0" xfId="0" applyNumberFormat="1" applyFont="1" applyFill="1"/>
    <xf numFmtId="0" fontId="6" fillId="7" borderId="0" xfId="0" applyFont="1" applyFill="1"/>
    <xf numFmtId="0" fontId="4" fillId="8" borderId="0" xfId="0" applyFont="1" applyFill="1"/>
    <xf numFmtId="0" fontId="4" fillId="8" borderId="0" xfId="0" applyFont="1" applyFill="1" applyAlignment="1">
      <alignment horizontal="center"/>
    </xf>
    <xf numFmtId="164" fontId="4" fillId="8" borderId="0" xfId="2" applyNumberFormat="1" applyFont="1" applyFill="1" applyAlignment="1">
      <alignment horizontal="center"/>
    </xf>
    <xf numFmtId="44" fontId="4" fillId="8" borderId="0" xfId="1" applyFont="1" applyFill="1"/>
    <xf numFmtId="0" fontId="0" fillId="9" borderId="0" xfId="0" applyFill="1"/>
    <xf numFmtId="0" fontId="0" fillId="9" borderId="0" xfId="0" applyFill="1" applyAlignment="1">
      <alignment horizontal="center"/>
    </xf>
    <xf numFmtId="164" fontId="0" fillId="9" borderId="0" xfId="2" applyNumberFormat="1" applyFont="1" applyFill="1" applyAlignment="1">
      <alignment horizontal="center"/>
    </xf>
    <xf numFmtId="44" fontId="0" fillId="9" borderId="0" xfId="1" applyFont="1" applyFill="1"/>
    <xf numFmtId="0" fontId="3" fillId="9" borderId="0" xfId="0" applyFont="1" applyFill="1"/>
    <xf numFmtId="0" fontId="3" fillId="9" borderId="0" xfId="0" applyFont="1" applyFill="1" applyAlignment="1">
      <alignment horizontal="center"/>
    </xf>
    <xf numFmtId="164" fontId="3" fillId="9" borderId="0" xfId="2" applyNumberFormat="1" applyFont="1" applyFill="1" applyAlignment="1">
      <alignment horizontal="center"/>
    </xf>
    <xf numFmtId="44" fontId="3" fillId="9" borderId="0" xfId="1" applyFont="1" applyFill="1"/>
    <xf numFmtId="9" fontId="0" fillId="10" borderId="1" xfId="2" applyFont="1" applyFill="1" applyBorder="1"/>
    <xf numFmtId="0" fontId="0" fillId="10" borderId="3" xfId="0" applyFill="1" applyBorder="1"/>
    <xf numFmtId="0" fontId="0" fillId="10" borderId="3" xfId="0" applyFill="1" applyBorder="1" applyAlignment="1">
      <alignment horizontal="center"/>
    </xf>
    <xf numFmtId="164" fontId="0" fillId="10" borderId="3" xfId="2" applyNumberFormat="1" applyFont="1" applyFill="1" applyBorder="1" applyAlignment="1">
      <alignment horizontal="center"/>
    </xf>
    <xf numFmtId="4" fontId="5" fillId="10" borderId="4" xfId="0" applyNumberFormat="1" applyFont="1" applyFill="1" applyBorder="1"/>
    <xf numFmtId="0" fontId="0" fillId="10" borderId="0" xfId="0" applyFill="1" applyBorder="1"/>
    <xf numFmtId="0" fontId="0" fillId="10" borderId="0" xfId="0" applyFill="1" applyBorder="1" applyAlignment="1">
      <alignment horizontal="center"/>
    </xf>
    <xf numFmtId="164" fontId="0" fillId="10" borderId="0" xfId="2" applyNumberFormat="1" applyFont="1" applyFill="1" applyBorder="1" applyAlignment="1">
      <alignment horizontal="center"/>
    </xf>
    <xf numFmtId="44" fontId="0" fillId="10" borderId="6" xfId="1" applyFont="1" applyFill="1" applyBorder="1"/>
    <xf numFmtId="164" fontId="0" fillId="10" borderId="0" xfId="2" applyNumberFormat="1" applyFont="1" applyFill="1" applyBorder="1"/>
    <xf numFmtId="0" fontId="3" fillId="10" borderId="0" xfId="0" applyFont="1" applyFill="1" applyBorder="1"/>
    <xf numFmtId="0" fontId="3" fillId="10" borderId="0" xfId="0" applyFont="1" applyFill="1" applyBorder="1" applyAlignment="1">
      <alignment horizontal="center"/>
    </xf>
    <xf numFmtId="164" fontId="3" fillId="10" borderId="0" xfId="2" applyNumberFormat="1" applyFont="1" applyFill="1" applyBorder="1" applyAlignment="1">
      <alignment horizontal="center"/>
    </xf>
    <xf numFmtId="4" fontId="6" fillId="10" borderId="6" xfId="0" applyNumberFormat="1" applyFont="1" applyFill="1" applyBorder="1"/>
    <xf numFmtId="0" fontId="6" fillId="10" borderId="6" xfId="0" applyFont="1" applyFill="1" applyBorder="1"/>
    <xf numFmtId="9" fontId="0" fillId="10" borderId="0" xfId="2" applyFon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44" fontId="0" fillId="10" borderId="8" xfId="1" applyFont="1" applyFill="1" applyBorder="1"/>
    <xf numFmtId="164" fontId="0" fillId="10" borderId="1" xfId="2" applyNumberFormat="1" applyFont="1" applyFill="1" applyBorder="1" applyAlignment="1">
      <alignment horizontal="right"/>
    </xf>
    <xf numFmtId="0" fontId="0" fillId="11" borderId="0" xfId="0" applyFill="1"/>
    <xf numFmtId="164" fontId="0" fillId="11" borderId="0" xfId="2" applyNumberFormat="1" applyFont="1" applyFill="1"/>
    <xf numFmtId="0" fontId="0" fillId="11" borderId="0" xfId="0" applyFill="1" applyAlignment="1">
      <alignment horizontal="center"/>
    </xf>
    <xf numFmtId="164" fontId="0" fillId="11" borderId="0" xfId="2" applyNumberFormat="1" applyFont="1" applyFill="1" applyAlignment="1">
      <alignment horizontal="center"/>
    </xf>
    <xf numFmtId="44" fontId="0" fillId="11" borderId="0" xfId="1" applyFont="1" applyFill="1"/>
    <xf numFmtId="164" fontId="0" fillId="11" borderId="0" xfId="2" applyNumberFormat="1" applyFont="1" applyFill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164" fontId="9" fillId="0" borderId="0" xfId="2" applyNumberFormat="1" applyFont="1" applyAlignment="1">
      <alignment horizontal="right"/>
    </xf>
    <xf numFmtId="44" fontId="9" fillId="0" borderId="0" xfId="1" applyFont="1"/>
    <xf numFmtId="0" fontId="10" fillId="4" borderId="0" xfId="0" applyFont="1" applyFill="1"/>
    <xf numFmtId="0" fontId="10" fillId="4" borderId="0" xfId="0" applyFont="1" applyFill="1" applyAlignment="1">
      <alignment horizontal="center"/>
    </xf>
    <xf numFmtId="164" fontId="10" fillId="4" borderId="1" xfId="2" applyNumberFormat="1" applyFont="1" applyFill="1" applyBorder="1" applyAlignment="1">
      <alignment horizontal="right"/>
    </xf>
    <xf numFmtId="44" fontId="10" fillId="4" borderId="0" xfId="1" applyFont="1" applyFill="1"/>
    <xf numFmtId="164" fontId="10" fillId="4" borderId="0" xfId="2" applyNumberFormat="1" applyFont="1" applyFill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center"/>
    </xf>
    <xf numFmtId="164" fontId="11" fillId="0" borderId="0" xfId="2" applyNumberFormat="1" applyFont="1" applyAlignment="1">
      <alignment horizontal="center"/>
    </xf>
    <xf numFmtId="164" fontId="4" fillId="12" borderId="0" xfId="2" applyNumberFormat="1" applyFont="1" applyFill="1"/>
    <xf numFmtId="0" fontId="4" fillId="12" borderId="0" xfId="0" applyFont="1" applyFill="1"/>
    <xf numFmtId="0" fontId="4" fillId="12" borderId="0" xfId="0" applyFont="1" applyFill="1" applyAlignment="1">
      <alignment horizontal="center"/>
    </xf>
    <xf numFmtId="164" fontId="4" fillId="12" borderId="0" xfId="2" applyNumberFormat="1" applyFont="1" applyFill="1" applyAlignment="1">
      <alignment horizontal="center"/>
    </xf>
    <xf numFmtId="44" fontId="4" fillId="12" borderId="0" xfId="1" applyFont="1" applyFill="1"/>
    <xf numFmtId="165" fontId="0" fillId="0" borderId="0" xfId="0" applyNumberFormat="1"/>
    <xf numFmtId="164" fontId="0" fillId="0" borderId="0" xfId="0" applyNumberFormat="1"/>
    <xf numFmtId="0" fontId="9" fillId="13" borderId="0" xfId="0" applyFont="1" applyFill="1"/>
    <xf numFmtId="0" fontId="9" fillId="13" borderId="0" xfId="0" applyFont="1" applyFill="1" applyAlignment="1">
      <alignment horizontal="center"/>
    </xf>
    <xf numFmtId="164" fontId="12" fillId="14" borderId="1" xfId="0" applyNumberFormat="1" applyFont="1" applyFill="1" applyBorder="1" applyAlignment="1">
      <alignment horizontal="right"/>
    </xf>
    <xf numFmtId="44" fontId="9" fillId="13" borderId="0" xfId="1" applyFont="1" applyFill="1"/>
    <xf numFmtId="164" fontId="4" fillId="15" borderId="0" xfId="0" applyNumberFormat="1" applyFont="1" applyFill="1" applyAlignment="1">
      <alignment horizontal="right"/>
    </xf>
    <xf numFmtId="0" fontId="13" fillId="0" borderId="0" xfId="0" applyFont="1" applyAlignment="1">
      <alignment horizontal="left"/>
    </xf>
    <xf numFmtId="0" fontId="0" fillId="10" borderId="2" xfId="0" applyFill="1" applyBorder="1" applyAlignment="1">
      <alignment horizontal="center" vertical="center" textRotation="90"/>
    </xf>
    <xf numFmtId="0" fontId="0" fillId="10" borderId="5" xfId="0" applyFill="1" applyBorder="1" applyAlignment="1">
      <alignment horizontal="center" vertical="center" textRotation="90"/>
    </xf>
    <xf numFmtId="0" fontId="0" fillId="10" borderId="7" xfId="0" applyFill="1" applyBorder="1" applyAlignment="1">
      <alignment horizontal="center" vertical="center" textRotation="90"/>
    </xf>
    <xf numFmtId="44" fontId="4" fillId="12" borderId="0" xfId="0" applyNumberFormat="1" applyFont="1" applyFill="1" applyAlignment="1">
      <alignment horizontal="center"/>
    </xf>
    <xf numFmtId="0" fontId="15" fillId="9" borderId="0" xfId="0" applyFont="1" applyFill="1" applyAlignment="1">
      <alignment horizontal="right"/>
    </xf>
    <xf numFmtId="0" fontId="15" fillId="9" borderId="0" xfId="0" applyFont="1" applyFill="1" applyAlignment="1">
      <alignment horizontal="left"/>
    </xf>
    <xf numFmtId="0" fontId="0" fillId="12" borderId="0" xfId="0" applyFill="1"/>
    <xf numFmtId="0" fontId="0" fillId="12" borderId="0" xfId="0" applyFill="1" applyAlignment="1">
      <alignment horizontal="center"/>
    </xf>
    <xf numFmtId="164" fontId="0" fillId="12" borderId="0" xfId="2" applyNumberFormat="1" applyFont="1" applyFill="1" applyAlignment="1">
      <alignment horizontal="center"/>
    </xf>
    <xf numFmtId="44" fontId="0" fillId="12" borderId="0" xfId="1" applyFont="1" applyFill="1"/>
    <xf numFmtId="0" fontId="13" fillId="0" borderId="0" xfId="0" applyFont="1"/>
    <xf numFmtId="168" fontId="13" fillId="0" borderId="0" xfId="2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vertical="center" textRotation="90"/>
    </xf>
    <xf numFmtId="0" fontId="14" fillId="0" borderId="9" xfId="0" applyFont="1" applyBorder="1" applyAlignment="1">
      <alignment horizontal="center" vertical="center" textRotation="90" wrapText="1"/>
    </xf>
    <xf numFmtId="0" fontId="14" fillId="0" borderId="10" xfId="0" applyFont="1" applyBorder="1" applyAlignment="1">
      <alignment horizontal="center" vertical="center" textRotation="90" wrapText="1"/>
    </xf>
    <xf numFmtId="0" fontId="14" fillId="0" borderId="11" xfId="0" applyFont="1" applyBorder="1" applyAlignment="1">
      <alignment horizontal="center" vertical="center" textRotation="90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4201-A9E6-46D0-B225-5910BF4A28C1}">
  <dimension ref="B2:N74"/>
  <sheetViews>
    <sheetView tabSelected="1" topLeftCell="A29" workbookViewId="0">
      <selection activeCell="G37" sqref="G37"/>
    </sheetView>
  </sheetViews>
  <sheetFormatPr defaultRowHeight="14.4" x14ac:dyDescent="0.3"/>
  <cols>
    <col min="4" max="4" width="27.109375" bestFit="1" customWidth="1"/>
    <col min="5" max="5" width="5" bestFit="1" customWidth="1"/>
    <col min="6" max="6" width="6.44140625" style="6" customWidth="1"/>
    <col min="7" max="7" width="13.88671875" style="2" customWidth="1"/>
    <col min="8" max="8" width="17.5546875" style="1" customWidth="1"/>
    <col min="9" max="9" width="15.88671875" style="6" customWidth="1"/>
    <col min="11" max="11" width="15" bestFit="1" customWidth="1"/>
    <col min="14" max="14" width="14" bestFit="1" customWidth="1"/>
  </cols>
  <sheetData>
    <row r="2" spans="2:8" x14ac:dyDescent="0.3">
      <c r="D2" t="s">
        <v>37</v>
      </c>
    </row>
    <row r="4" spans="2:8" x14ac:dyDescent="0.3">
      <c r="B4" s="105" t="s">
        <v>26</v>
      </c>
      <c r="C4" s="55"/>
      <c r="D4" s="55" t="s">
        <v>24</v>
      </c>
      <c r="E4" s="55"/>
      <c r="F4" s="56"/>
      <c r="G4" s="57"/>
      <c r="H4" s="58">
        <v>53509.919999999998</v>
      </c>
    </row>
    <row r="5" spans="2:8" x14ac:dyDescent="0.3">
      <c r="B5" s="106"/>
      <c r="C5" s="59"/>
      <c r="D5" s="59"/>
      <c r="E5" s="59"/>
      <c r="F5" s="60"/>
      <c r="G5" s="61"/>
      <c r="H5" s="62"/>
    </row>
    <row r="6" spans="2:8" x14ac:dyDescent="0.3">
      <c r="B6" s="106"/>
      <c r="C6" s="63">
        <v>0.1051</v>
      </c>
      <c r="D6" s="64" t="s">
        <v>8</v>
      </c>
      <c r="E6" s="64"/>
      <c r="F6" s="65"/>
      <c r="G6" s="66"/>
      <c r="H6" s="67">
        <v>18608.3</v>
      </c>
    </row>
    <row r="7" spans="2:8" x14ac:dyDescent="0.3">
      <c r="B7" s="106"/>
      <c r="C7" s="63">
        <v>0.10639999999999999</v>
      </c>
      <c r="D7" s="64" t="s">
        <v>11</v>
      </c>
      <c r="E7" s="64"/>
      <c r="F7" s="65"/>
      <c r="G7" s="66"/>
      <c r="H7" s="67">
        <v>18838.47</v>
      </c>
    </row>
    <row r="8" spans="2:8" x14ac:dyDescent="0.3">
      <c r="B8" s="106"/>
      <c r="C8" s="63">
        <v>6.1199999999999997E-2</v>
      </c>
      <c r="D8" s="64" t="s">
        <v>10</v>
      </c>
      <c r="E8" s="64"/>
      <c r="F8" s="65"/>
      <c r="G8" s="66"/>
      <c r="H8" s="67">
        <v>10835.66</v>
      </c>
    </row>
    <row r="9" spans="2:8" x14ac:dyDescent="0.3">
      <c r="B9" s="106"/>
      <c r="C9" s="63">
        <v>4.3E-3</v>
      </c>
      <c r="D9" s="64" t="s">
        <v>9</v>
      </c>
      <c r="E9" s="64"/>
      <c r="F9" s="65"/>
      <c r="G9" s="66"/>
      <c r="H9" s="68">
        <v>761.33</v>
      </c>
    </row>
    <row r="10" spans="2:8" x14ac:dyDescent="0.3">
      <c r="B10" s="106"/>
      <c r="C10" s="63"/>
      <c r="D10" s="59"/>
      <c r="E10" s="59"/>
      <c r="F10" s="60"/>
      <c r="G10" s="61"/>
      <c r="H10" s="62"/>
    </row>
    <row r="11" spans="2:8" x14ac:dyDescent="0.3">
      <c r="B11" s="106"/>
      <c r="C11" s="63">
        <v>0.05</v>
      </c>
      <c r="D11" s="59" t="s">
        <v>14</v>
      </c>
      <c r="E11" s="59"/>
      <c r="F11" s="60"/>
      <c r="G11" s="61"/>
      <c r="H11" s="62">
        <f t="shared" ref="H11:H13" si="0">$H$21*C11</f>
        <v>8852.6627512614814</v>
      </c>
    </row>
    <row r="12" spans="2:8" x14ac:dyDescent="0.3">
      <c r="B12" s="106"/>
      <c r="C12" s="63">
        <v>0.1</v>
      </c>
      <c r="D12" s="59" t="s">
        <v>16</v>
      </c>
      <c r="E12" s="59"/>
      <c r="F12" s="60"/>
      <c r="G12" s="61"/>
      <c r="H12" s="62">
        <f t="shared" si="0"/>
        <v>17705.325502522963</v>
      </c>
    </row>
    <row r="13" spans="2:8" x14ac:dyDescent="0.3">
      <c r="B13" s="106"/>
      <c r="C13" s="63">
        <v>1.4999999999999999E-2</v>
      </c>
      <c r="D13" s="59" t="s">
        <v>17</v>
      </c>
      <c r="E13" s="59"/>
      <c r="F13" s="60"/>
      <c r="G13" s="61"/>
      <c r="H13" s="62">
        <f t="shared" si="0"/>
        <v>2655.7988253784442</v>
      </c>
    </row>
    <row r="14" spans="2:8" x14ac:dyDescent="0.3">
      <c r="B14" s="106"/>
      <c r="C14" s="63">
        <v>8.9999999999999993E-3</v>
      </c>
      <c r="D14" s="59" t="s">
        <v>18</v>
      </c>
      <c r="E14" s="59"/>
      <c r="F14" s="60"/>
      <c r="G14" s="61"/>
      <c r="H14" s="62">
        <f>$H$21*C14</f>
        <v>1593.4792952270664</v>
      </c>
    </row>
    <row r="15" spans="2:8" x14ac:dyDescent="0.3">
      <c r="B15" s="106"/>
      <c r="C15" s="63"/>
      <c r="D15" s="59"/>
      <c r="E15" s="59"/>
      <c r="F15" s="60"/>
      <c r="G15" s="61"/>
      <c r="H15" s="62"/>
    </row>
    <row r="16" spans="2:8" x14ac:dyDescent="0.3">
      <c r="B16" s="106"/>
      <c r="C16" s="63">
        <v>0.17</v>
      </c>
      <c r="D16" s="64" t="s">
        <v>4</v>
      </c>
      <c r="E16" s="59"/>
      <c r="F16" s="60"/>
      <c r="G16" s="61"/>
      <c r="H16" s="62"/>
    </row>
    <row r="17" spans="2:11" x14ac:dyDescent="0.3">
      <c r="B17" s="106"/>
      <c r="C17" s="63">
        <v>7.6774999999999996E-2</v>
      </c>
      <c r="D17" s="64" t="s">
        <v>5</v>
      </c>
      <c r="E17" s="59"/>
      <c r="F17" s="60"/>
      <c r="G17" s="61"/>
      <c r="H17" s="62">
        <f>H21*C16</f>
        <v>30099.053354289037</v>
      </c>
    </row>
    <row r="18" spans="2:11" x14ac:dyDescent="0.3">
      <c r="B18" s="106"/>
      <c r="C18" s="54"/>
      <c r="D18" s="59"/>
      <c r="E18" s="59"/>
      <c r="F18" s="60"/>
      <c r="G18" s="61"/>
      <c r="H18" s="62">
        <f>H21*C17</f>
        <v>13593.263654562003</v>
      </c>
    </row>
    <row r="19" spans="2:11" x14ac:dyDescent="0.3">
      <c r="B19" s="106"/>
      <c r="C19" s="69">
        <f>SUM(C6:C17)</f>
        <v>0.69777500000000015</v>
      </c>
      <c r="D19" s="59" t="s">
        <v>25</v>
      </c>
      <c r="E19" s="59"/>
      <c r="F19" s="60"/>
      <c r="G19" s="61">
        <f>1-C19</f>
        <v>0.30222499999999985</v>
      </c>
      <c r="H19" s="62"/>
    </row>
    <row r="20" spans="2:11" x14ac:dyDescent="0.3">
      <c r="B20" s="106"/>
      <c r="C20" s="59"/>
      <c r="D20" s="59"/>
      <c r="E20" s="59"/>
      <c r="F20" s="60"/>
      <c r="G20" s="61"/>
      <c r="H20" s="62"/>
    </row>
    <row r="21" spans="2:11" x14ac:dyDescent="0.3">
      <c r="B21" s="107"/>
      <c r="C21" s="70"/>
      <c r="D21" s="70"/>
      <c r="E21" s="70"/>
      <c r="F21" s="71"/>
      <c r="G21" s="73" t="s">
        <v>27</v>
      </c>
      <c r="H21" s="72">
        <f>H4/G19</f>
        <v>177053.25502522962</v>
      </c>
      <c r="I21" s="116">
        <f>H21/H28</f>
        <v>0.93158492697917106</v>
      </c>
      <c r="J21" s="115" t="s">
        <v>34</v>
      </c>
      <c r="K21" s="115"/>
    </row>
    <row r="22" spans="2:11" x14ac:dyDescent="0.3">
      <c r="I22" s="117"/>
      <c r="J22" s="115"/>
      <c r="K22" s="115"/>
    </row>
    <row r="23" spans="2:11" x14ac:dyDescent="0.3">
      <c r="B23" s="74"/>
      <c r="C23" s="75">
        <v>0.01</v>
      </c>
      <c r="D23" s="74" t="s">
        <v>28</v>
      </c>
      <c r="E23" s="74"/>
      <c r="F23" s="76"/>
      <c r="G23" s="77"/>
      <c r="H23" s="78">
        <f>(H21-SUM(H17:H18))*C23</f>
        <v>1333.6093801637858</v>
      </c>
      <c r="I23" s="117"/>
      <c r="J23" s="115"/>
      <c r="K23" s="115"/>
    </row>
    <row r="24" spans="2:11" x14ac:dyDescent="0.3">
      <c r="B24" s="74"/>
      <c r="C24" s="75">
        <v>8.7499999999999994E-2</v>
      </c>
      <c r="D24" s="74" t="s">
        <v>29</v>
      </c>
      <c r="E24" s="74"/>
      <c r="F24" s="76"/>
      <c r="G24" s="77"/>
      <c r="H24" s="78">
        <f>(H21-SUM(H17:H18))*C24</f>
        <v>11669.082076433126</v>
      </c>
      <c r="I24" s="117"/>
      <c r="J24" s="115"/>
      <c r="K24" s="115"/>
    </row>
    <row r="25" spans="2:11" x14ac:dyDescent="0.3">
      <c r="B25" s="74"/>
      <c r="C25" s="74"/>
      <c r="D25" s="74"/>
      <c r="E25" s="74"/>
      <c r="F25" s="76"/>
      <c r="G25" s="77"/>
      <c r="H25" s="78"/>
      <c r="I25" s="117"/>
      <c r="J25" s="115"/>
      <c r="K25" s="115"/>
    </row>
    <row r="26" spans="2:11" x14ac:dyDescent="0.3">
      <c r="B26" s="74"/>
      <c r="C26" s="74"/>
      <c r="D26" s="74"/>
      <c r="E26" s="74"/>
      <c r="F26" s="76"/>
      <c r="G26" s="79" t="s">
        <v>30</v>
      </c>
      <c r="H26" s="78">
        <f>SUM(H23:H25)</f>
        <v>13002.691456596911</v>
      </c>
      <c r="I26" s="116">
        <f>H26/H28</f>
        <v>6.8415073020828887E-2</v>
      </c>
      <c r="J26" s="115" t="s">
        <v>34</v>
      </c>
      <c r="K26" s="115"/>
    </row>
    <row r="28" spans="2:11" ht="15.6" x14ac:dyDescent="0.3">
      <c r="D28" s="80"/>
      <c r="E28" s="80"/>
      <c r="F28" s="81"/>
      <c r="G28" s="82" t="s">
        <v>31</v>
      </c>
      <c r="H28" s="83">
        <f>SUM(H26,H21)</f>
        <v>190055.94648182654</v>
      </c>
    </row>
    <row r="31" spans="2:11" ht="19.2" x14ac:dyDescent="0.45">
      <c r="D31" s="8" t="s">
        <v>0</v>
      </c>
      <c r="E31" s="8"/>
      <c r="F31" s="9"/>
      <c r="G31" s="10"/>
      <c r="H31" s="11">
        <f>H28</f>
        <v>190055.94648182654</v>
      </c>
    </row>
    <row r="33" spans="2:14" ht="14.4" customHeight="1" x14ac:dyDescent="0.3">
      <c r="B33" s="119" t="s">
        <v>47</v>
      </c>
      <c r="C33" s="12" t="s">
        <v>20</v>
      </c>
      <c r="D33" s="12" t="s">
        <v>1</v>
      </c>
      <c r="E33" s="12"/>
      <c r="F33" s="13"/>
      <c r="G33" s="14">
        <v>0.1</v>
      </c>
      <c r="H33" s="15"/>
    </row>
    <row r="34" spans="2:14" x14ac:dyDescent="0.3">
      <c r="B34" s="120"/>
    </row>
    <row r="35" spans="2:14" x14ac:dyDescent="0.3">
      <c r="B35" s="120"/>
      <c r="D35" s="16" t="s">
        <v>2</v>
      </c>
      <c r="E35" s="16"/>
      <c r="F35" s="17"/>
      <c r="G35" s="18"/>
      <c r="H35" s="19">
        <f>H31-H31*G33</f>
        <v>171050.35183364389</v>
      </c>
      <c r="K35" s="97"/>
      <c r="N35" s="97"/>
    </row>
    <row r="36" spans="2:14" x14ac:dyDescent="0.3">
      <c r="B36" s="120"/>
      <c r="D36" s="16"/>
      <c r="E36" s="84"/>
      <c r="F36" s="85"/>
      <c r="G36" s="86" t="s">
        <v>50</v>
      </c>
      <c r="H36" s="87">
        <f>H35*I21</f>
        <v>159347.92952270666</v>
      </c>
      <c r="I36" s="104" t="s">
        <v>35</v>
      </c>
    </row>
    <row r="37" spans="2:14" x14ac:dyDescent="0.3">
      <c r="B37" s="120"/>
      <c r="D37" s="16"/>
      <c r="E37" s="84"/>
      <c r="F37" s="85"/>
      <c r="G37" s="88" t="s">
        <v>30</v>
      </c>
      <c r="H37" s="87">
        <f>H35*I26</f>
        <v>11702.42231093722</v>
      </c>
      <c r="I37" s="104" t="s">
        <v>36</v>
      </c>
    </row>
    <row r="38" spans="2:14" x14ac:dyDescent="0.3">
      <c r="B38" s="120"/>
      <c r="D38" s="16"/>
      <c r="E38" s="16"/>
      <c r="F38" s="17"/>
      <c r="G38" s="18"/>
      <c r="H38" s="19"/>
    </row>
    <row r="39" spans="2:14" x14ac:dyDescent="0.3">
      <c r="B39" s="120"/>
    </row>
    <row r="40" spans="2:14" x14ac:dyDescent="0.3">
      <c r="B40" s="120"/>
      <c r="C40" s="46" t="s">
        <v>21</v>
      </c>
      <c r="D40" s="46" t="s">
        <v>3</v>
      </c>
      <c r="E40" s="46"/>
      <c r="F40" s="47"/>
      <c r="G40" s="48"/>
      <c r="H40" s="49"/>
      <c r="I40" s="47"/>
    </row>
    <row r="41" spans="2:14" x14ac:dyDescent="0.3">
      <c r="B41" s="120"/>
      <c r="C41" s="46"/>
      <c r="D41" s="50" t="s">
        <v>4</v>
      </c>
      <c r="E41" s="50"/>
      <c r="F41" s="109"/>
      <c r="G41" s="52">
        <v>0.17</v>
      </c>
      <c r="H41" s="53">
        <f>H36*G41</f>
        <v>27089.148018860134</v>
      </c>
      <c r="I41" s="110" t="s">
        <v>38</v>
      </c>
    </row>
    <row r="42" spans="2:14" x14ac:dyDescent="0.3">
      <c r="B42" s="120"/>
      <c r="C42" s="46"/>
      <c r="D42" s="42" t="s">
        <v>40</v>
      </c>
      <c r="E42" s="42"/>
      <c r="F42" s="43"/>
      <c r="G42" s="44"/>
      <c r="H42" s="45">
        <f>H36-H41</f>
        <v>132258.78150384652</v>
      </c>
      <c r="I42" s="43"/>
    </row>
    <row r="43" spans="2:14" x14ac:dyDescent="0.3">
      <c r="B43" s="120"/>
      <c r="C43" s="46"/>
      <c r="D43" s="50" t="s">
        <v>5</v>
      </c>
      <c r="E43" s="50"/>
      <c r="F43" s="51"/>
      <c r="G43" s="52">
        <v>9.2499999999999999E-2</v>
      </c>
      <c r="H43" s="53">
        <f>(H36-H41)*G43</f>
        <v>12233.937289105803</v>
      </c>
      <c r="I43" s="110" t="s">
        <v>39</v>
      </c>
    </row>
    <row r="44" spans="2:14" x14ac:dyDescent="0.3">
      <c r="B44" s="120"/>
      <c r="H44" s="3"/>
    </row>
    <row r="45" spans="2:14" x14ac:dyDescent="0.3">
      <c r="B45" s="120"/>
      <c r="C45" s="42"/>
      <c r="D45" s="42" t="s">
        <v>41</v>
      </c>
      <c r="E45" s="42"/>
      <c r="F45" s="43"/>
      <c r="G45" s="44"/>
      <c r="H45" s="45">
        <f>H36-H41-H43</f>
        <v>120024.84421474072</v>
      </c>
      <c r="I45" s="43"/>
    </row>
    <row r="46" spans="2:14" x14ac:dyDescent="0.3">
      <c r="B46" s="120"/>
    </row>
    <row r="47" spans="2:14" x14ac:dyDescent="0.3">
      <c r="B47" s="120"/>
      <c r="C47" s="32" t="s">
        <v>22</v>
      </c>
      <c r="D47" s="32" t="s">
        <v>6</v>
      </c>
      <c r="E47" s="32"/>
      <c r="F47" s="33"/>
      <c r="G47" s="34"/>
      <c r="H47" s="35"/>
      <c r="I47" s="33"/>
    </row>
    <row r="48" spans="2:14" x14ac:dyDescent="0.3">
      <c r="B48" s="120"/>
      <c r="C48" s="32"/>
      <c r="D48" s="36" t="s">
        <v>7</v>
      </c>
      <c r="E48" s="36"/>
      <c r="F48" s="37"/>
      <c r="G48" s="38"/>
      <c r="H48" s="39">
        <v>53509.919999999998</v>
      </c>
      <c r="I48" s="33"/>
    </row>
    <row r="49" spans="2:9" x14ac:dyDescent="0.3">
      <c r="B49" s="120"/>
      <c r="C49" s="32"/>
      <c r="D49" s="36" t="s">
        <v>8</v>
      </c>
      <c r="E49" s="36"/>
      <c r="F49" s="37"/>
      <c r="G49" s="38"/>
      <c r="H49" s="40">
        <v>18608.3</v>
      </c>
      <c r="I49" s="33"/>
    </row>
    <row r="50" spans="2:9" x14ac:dyDescent="0.3">
      <c r="B50" s="120"/>
      <c r="C50" s="32"/>
      <c r="D50" s="36" t="s">
        <v>11</v>
      </c>
      <c r="E50" s="36"/>
      <c r="F50" s="37"/>
      <c r="G50" s="38"/>
      <c r="H50" s="40">
        <v>18838.47</v>
      </c>
      <c r="I50" s="33"/>
    </row>
    <row r="51" spans="2:9" x14ac:dyDescent="0.3">
      <c r="B51" s="120"/>
      <c r="C51" s="32"/>
      <c r="D51" s="36" t="s">
        <v>10</v>
      </c>
      <c r="E51" s="36"/>
      <c r="F51" s="37"/>
      <c r="G51" s="38"/>
      <c r="H51" s="40">
        <v>10835.66</v>
      </c>
      <c r="I51" s="33"/>
    </row>
    <row r="52" spans="2:9" x14ac:dyDescent="0.3">
      <c r="B52" s="120"/>
      <c r="C52" s="32"/>
      <c r="D52" s="36" t="s">
        <v>9</v>
      </c>
      <c r="E52" s="36"/>
      <c r="F52" s="37"/>
      <c r="G52" s="38"/>
      <c r="H52" s="41">
        <v>761.33</v>
      </c>
      <c r="I52" s="33"/>
    </row>
    <row r="53" spans="2:9" x14ac:dyDescent="0.3">
      <c r="B53" s="120"/>
      <c r="D53" s="4"/>
      <c r="E53" s="4"/>
      <c r="F53" s="7"/>
      <c r="G53" s="5"/>
      <c r="H53" s="3"/>
    </row>
    <row r="54" spans="2:9" x14ac:dyDescent="0.3">
      <c r="B54" s="120"/>
      <c r="C54" s="24"/>
      <c r="D54" s="20" t="s">
        <v>12</v>
      </c>
      <c r="E54" s="20"/>
      <c r="F54" s="21"/>
      <c r="G54" s="22"/>
      <c r="H54" s="23">
        <f>H45-SUM(H48:H53)</f>
        <v>17471.164214740711</v>
      </c>
      <c r="I54" s="22">
        <f>H54/H36</f>
        <v>0.10964161421533322</v>
      </c>
    </row>
    <row r="55" spans="2:9" x14ac:dyDescent="0.3">
      <c r="B55" s="120"/>
    </row>
    <row r="56" spans="2:9" x14ac:dyDescent="0.3">
      <c r="B56" s="120"/>
      <c r="C56" s="25" t="s">
        <v>23</v>
      </c>
      <c r="D56" s="26" t="s">
        <v>13</v>
      </c>
      <c r="E56" s="27">
        <f>SUM(E57:E60)</f>
        <v>17.399999999999999</v>
      </c>
      <c r="F56" s="28" t="s">
        <v>15</v>
      </c>
      <c r="G56" s="29"/>
      <c r="H56" s="30"/>
      <c r="I56" s="29" t="s">
        <v>19</v>
      </c>
    </row>
    <row r="57" spans="2:9" x14ac:dyDescent="0.3">
      <c r="B57" s="120"/>
      <c r="C57" s="25"/>
      <c r="D57" s="25" t="s">
        <v>14</v>
      </c>
      <c r="E57" s="31">
        <v>5</v>
      </c>
      <c r="F57" s="31">
        <f>E57/E56</f>
        <v>0.2873563218390805</v>
      </c>
      <c r="G57" s="29"/>
      <c r="H57" s="30">
        <f>$H$54*F57</f>
        <v>5020.4494869944574</v>
      </c>
      <c r="I57" s="29">
        <f>H57/$H$36</f>
        <v>3.1506210981417593E-2</v>
      </c>
    </row>
    <row r="58" spans="2:9" x14ac:dyDescent="0.3">
      <c r="B58" s="120"/>
      <c r="C58" s="25"/>
      <c r="D58" s="25" t="s">
        <v>16</v>
      </c>
      <c r="E58" s="31">
        <v>10</v>
      </c>
      <c r="F58" s="31">
        <f>E58/E56</f>
        <v>0.57471264367816099</v>
      </c>
      <c r="G58" s="29"/>
      <c r="H58" s="30">
        <f>$H$54*F58</f>
        <v>10040.898973988915</v>
      </c>
      <c r="I58" s="29">
        <f>H58/$H$36</f>
        <v>6.3012421962835186E-2</v>
      </c>
    </row>
    <row r="59" spans="2:9" x14ac:dyDescent="0.3">
      <c r="B59" s="120"/>
      <c r="C59" s="25"/>
      <c r="D59" s="25" t="s">
        <v>17</v>
      </c>
      <c r="E59" s="31">
        <v>1.5</v>
      </c>
      <c r="F59" s="31">
        <f>E59/E56</f>
        <v>8.6206896551724144E-2</v>
      </c>
      <c r="G59" s="29"/>
      <c r="H59" s="30">
        <f>$H$54*F59</f>
        <v>1506.1348460983372</v>
      </c>
      <c r="I59" s="29">
        <f>H59/$H$36</f>
        <v>9.4518632944252789E-3</v>
      </c>
    </row>
    <row r="60" spans="2:9" x14ac:dyDescent="0.3">
      <c r="B60" s="120"/>
      <c r="C60" s="25"/>
      <c r="D60" s="25" t="s">
        <v>18</v>
      </c>
      <c r="E60" s="31">
        <v>0.9</v>
      </c>
      <c r="F60" s="31">
        <f>E60/E56</f>
        <v>5.1724137931034489E-2</v>
      </c>
      <c r="G60" s="29"/>
      <c r="H60" s="30">
        <f>$H$54*F60</f>
        <v>903.6809076590024</v>
      </c>
      <c r="I60" s="29">
        <f>H60/$H$36</f>
        <v>5.6711179766551672E-3</v>
      </c>
    </row>
    <row r="61" spans="2:9" x14ac:dyDescent="0.3">
      <c r="B61" s="120"/>
    </row>
    <row r="62" spans="2:9" ht="15.6" x14ac:dyDescent="0.3">
      <c r="B62" s="121"/>
      <c r="C62" s="99"/>
      <c r="D62" s="99"/>
      <c r="E62" s="99"/>
      <c r="F62" s="100"/>
      <c r="G62" s="101" t="s">
        <v>32</v>
      </c>
      <c r="H62" s="102">
        <f>SUM(H57:H60,H48:H52,H41,H43)</f>
        <v>159347.92952270666</v>
      </c>
      <c r="I62" s="100"/>
    </row>
    <row r="63" spans="2:9" x14ac:dyDescent="0.3">
      <c r="B63" s="118"/>
    </row>
    <row r="64" spans="2:9" ht="14.4" customHeight="1" x14ac:dyDescent="0.3">
      <c r="B64" s="119" t="s">
        <v>48</v>
      </c>
      <c r="C64" s="111"/>
      <c r="D64" s="111" t="s">
        <v>42</v>
      </c>
      <c r="E64" s="111"/>
      <c r="F64" s="112"/>
      <c r="G64" s="113"/>
      <c r="H64" s="114"/>
      <c r="I64" s="112"/>
    </row>
    <row r="65" spans="2:9" x14ac:dyDescent="0.3">
      <c r="B65" s="120"/>
      <c r="C65" s="92">
        <v>0.01</v>
      </c>
      <c r="D65" s="93" t="s">
        <v>28</v>
      </c>
      <c r="E65" s="93"/>
      <c r="F65" s="108"/>
      <c r="G65" s="108"/>
      <c r="H65" s="96">
        <f>(H62-H43-H41)*C65</f>
        <v>1200.2484421474071</v>
      </c>
      <c r="I65" s="94"/>
    </row>
    <row r="66" spans="2:9" x14ac:dyDescent="0.3">
      <c r="B66" s="120"/>
      <c r="C66" s="92">
        <v>8.7499999999999994E-2</v>
      </c>
      <c r="D66" s="93" t="s">
        <v>29</v>
      </c>
      <c r="E66" s="93"/>
      <c r="F66" s="94"/>
      <c r="G66" s="95"/>
      <c r="H66" s="96">
        <f>(H62-H43-H41)*C66</f>
        <v>10502.173868789811</v>
      </c>
      <c r="I66" s="94"/>
    </row>
    <row r="67" spans="2:9" x14ac:dyDescent="0.3">
      <c r="B67" s="120"/>
      <c r="C67" s="92"/>
      <c r="D67" s="93" t="s">
        <v>43</v>
      </c>
      <c r="E67" s="93"/>
      <c r="F67" s="94"/>
      <c r="G67" s="95"/>
      <c r="H67" s="96"/>
      <c r="I67" s="94"/>
    </row>
    <row r="68" spans="2:9" x14ac:dyDescent="0.3">
      <c r="B68" s="120"/>
      <c r="C68" s="92"/>
      <c r="D68" s="93" t="s">
        <v>44</v>
      </c>
      <c r="E68" s="93"/>
      <c r="F68" s="94"/>
      <c r="G68" s="95"/>
      <c r="H68" s="96"/>
      <c r="I68" s="94"/>
    </row>
    <row r="69" spans="2:9" x14ac:dyDescent="0.3">
      <c r="B69" s="120"/>
      <c r="C69" s="92"/>
      <c r="D69" s="93" t="s">
        <v>45</v>
      </c>
      <c r="E69" s="93"/>
      <c r="F69" s="94"/>
      <c r="G69" s="95"/>
      <c r="H69" s="96"/>
      <c r="I69" s="94"/>
    </row>
    <row r="70" spans="2:9" x14ac:dyDescent="0.3">
      <c r="B70" s="120"/>
      <c r="C70" s="92"/>
      <c r="D70" s="93" t="s">
        <v>46</v>
      </c>
      <c r="E70" s="93"/>
      <c r="F70" s="94"/>
      <c r="G70" s="95"/>
      <c r="H70" s="96"/>
      <c r="I70" s="94"/>
    </row>
    <row r="71" spans="2:9" x14ac:dyDescent="0.3">
      <c r="B71" s="120"/>
    </row>
    <row r="72" spans="2:9" x14ac:dyDescent="0.3">
      <c r="B72" s="121"/>
      <c r="C72" s="12"/>
      <c r="D72" s="12"/>
      <c r="E72" s="12"/>
      <c r="F72" s="13"/>
      <c r="G72" s="103" t="s">
        <v>33</v>
      </c>
      <c r="H72" s="15">
        <f>SUM(H65:H66)</f>
        <v>11702.422310937218</v>
      </c>
      <c r="I72" s="13"/>
    </row>
    <row r="73" spans="2:9" x14ac:dyDescent="0.3">
      <c r="B73" s="118"/>
      <c r="C73" s="98"/>
    </row>
    <row r="74" spans="2:9" ht="18" x14ac:dyDescent="0.35">
      <c r="B74" s="118"/>
      <c r="C74" s="89"/>
      <c r="D74" s="89"/>
      <c r="E74" s="89"/>
      <c r="F74" s="90"/>
      <c r="G74" s="91" t="s">
        <v>49</v>
      </c>
      <c r="H74" s="83">
        <f>SUM(H62,H72)</f>
        <v>171050.35183364389</v>
      </c>
      <c r="I74" s="90"/>
    </row>
  </sheetData>
  <mergeCells count="4">
    <mergeCell ref="B4:B21"/>
    <mergeCell ref="F65:G65"/>
    <mergeCell ref="B33:B62"/>
    <mergeCell ref="B64:B72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2026-05-21T19:53:58Z</dcterms:created>
  <dcterms:modified xsi:type="dcterms:W3CDTF">2026-05-22T14:39:34Z</dcterms:modified>
</cp:coreProperties>
</file>