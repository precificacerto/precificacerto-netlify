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Lucro Real c CBS e IBS\Industria IPI por dentro\"/>
    </mc:Choice>
  </mc:AlternateContent>
  <xr:revisionPtr revIDLastSave="0" documentId="13_ncr:1_{C805AD17-3F0E-438C-91C3-449C2500C582}" xr6:coauthVersionLast="43" xr6:coauthVersionMax="43" xr10:uidLastSave="{00000000-0000-0000-0000-000000000000}"/>
  <bookViews>
    <workbookView xWindow="-108" yWindow="-108" windowWidth="23256" windowHeight="12456" xr2:uid="{F2F47505-BDEC-4C1B-BC13-5376130B7F6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N140" i="1" l="1"/>
  <c r="N134" i="1"/>
  <c r="W125" i="1"/>
  <c r="N125" i="1"/>
  <c r="N122" i="1"/>
  <c r="Q110" i="1"/>
  <c r="M110" i="1"/>
  <c r="N108" i="1"/>
  <c r="K108" i="1"/>
  <c r="N107" i="1"/>
  <c r="M93" i="1"/>
  <c r="Q93" i="1" s="1"/>
  <c r="G80" i="1"/>
  <c r="G76" i="1"/>
  <c r="Q68" i="1"/>
  <c r="B67" i="1"/>
  <c r="Q64" i="1"/>
  <c r="B63" i="1"/>
  <c r="Q60" i="1"/>
  <c r="B59" i="1"/>
  <c r="Q56" i="1"/>
  <c r="Q55" i="1"/>
  <c r="Q54" i="1"/>
  <c r="Q53" i="1"/>
  <c r="S50" i="1" s="1"/>
  <c r="B53" i="1"/>
  <c r="W36" i="1"/>
  <c r="H36" i="1"/>
  <c r="H33" i="1"/>
  <c r="H39" i="1" s="1"/>
  <c r="W48" i="1" s="1"/>
  <c r="AD21" i="1"/>
  <c r="W21" i="1"/>
  <c r="P21" i="1"/>
  <c r="H21" i="1"/>
  <c r="AD18" i="1"/>
  <c r="W18" i="1"/>
  <c r="P18" i="1"/>
  <c r="H18" i="1"/>
  <c r="AD16" i="1"/>
  <c r="AD24" i="1" s="1"/>
  <c r="W16" i="1"/>
  <c r="W24" i="1" s="1"/>
  <c r="P16" i="1"/>
  <c r="P24" i="1" s="1"/>
  <c r="H16" i="1"/>
  <c r="H24" i="1" s="1"/>
  <c r="W47" i="1" s="1"/>
  <c r="H13" i="1"/>
  <c r="H12" i="1"/>
  <c r="W50" i="1" l="1"/>
  <c r="W115" i="1" s="1"/>
  <c r="W147" i="1" l="1"/>
  <c r="W110" i="1"/>
  <c r="W93" i="1"/>
  <c r="N98" i="1" s="1"/>
  <c r="W84" i="1"/>
  <c r="W64" i="1"/>
  <c r="W55" i="1"/>
  <c r="W53" i="1"/>
  <c r="N97" i="1"/>
  <c r="N99" i="1" s="1"/>
  <c r="N101" i="1" s="1"/>
  <c r="N103" i="1" s="1"/>
  <c r="W74" i="1"/>
  <c r="W68" i="1"/>
  <c r="N90" i="1"/>
  <c r="W60" i="1"/>
  <c r="N133" i="1"/>
  <c r="N135" i="1" s="1"/>
  <c r="W103" i="1"/>
  <c r="W79" i="1"/>
  <c r="W56" i="1"/>
  <c r="W54" i="1"/>
  <c r="N139" i="1"/>
  <c r="N141" i="1" s="1"/>
  <c r="Q47" i="1"/>
  <c r="Q48" i="1"/>
  <c r="G48" i="1" s="1"/>
  <c r="G47" i="1" l="1"/>
  <c r="B47" i="1" s="1"/>
  <c r="Q115" i="1"/>
  <c r="I82" i="1"/>
  <c r="I84" i="1" s="1"/>
  <c r="K84" i="1" s="1"/>
  <c r="N84" i="1" s="1"/>
  <c r="K73" i="1"/>
  <c r="K74" i="1" s="1"/>
  <c r="N74" i="1" s="1"/>
  <c r="K78" i="1"/>
  <c r="K79" i="1" s="1"/>
  <c r="N79" i="1" s="1"/>
  <c r="G78" i="1" s="1"/>
  <c r="B76" i="1" s="1"/>
</calcChain>
</file>

<file path=xl/sharedStrings.xml><?xml version="1.0" encoding="utf-8"?>
<sst xmlns="http://schemas.openxmlformats.org/spreadsheetml/2006/main" count="203" uniqueCount="99">
  <si>
    <t>Precificação por Margem de Contribuição Lucro Real</t>
  </si>
  <si>
    <t>Matéria Prima | Fornecedores | Insumos</t>
  </si>
  <si>
    <t>Base para formação do preço de venda</t>
  </si>
  <si>
    <t>Produto</t>
  </si>
  <si>
    <t>Base bruta com valores/créditos recuperáveis (Exceto CBS e IBS)</t>
  </si>
  <si>
    <t>Total materiais</t>
  </si>
  <si>
    <t>PVC</t>
  </si>
  <si>
    <t>Ferragens</t>
  </si>
  <si>
    <t>Frete</t>
  </si>
  <si>
    <t>IPI Custo (Quando não gera crédito)</t>
  </si>
  <si>
    <t>CNAE defini se o IPI será crédito ou custo</t>
  </si>
  <si>
    <t>Valor total dos créditos</t>
  </si>
  <si>
    <t>Impostos com crédito</t>
  </si>
  <si>
    <t>Acionador "x"</t>
  </si>
  <si>
    <t>%</t>
  </si>
  <si>
    <t>ICMS</t>
  </si>
  <si>
    <t>destacado</t>
  </si>
  <si>
    <t>x</t>
  </si>
  <si>
    <t>PIS/COFINS</t>
  </si>
  <si>
    <t>IPI</t>
  </si>
  <si>
    <t>Creditável para industria / Comércio é custo</t>
  </si>
  <si>
    <t>Valor total custo MP/Fornecedores</t>
  </si>
  <si>
    <t>Custo líquido do produto</t>
  </si>
  <si>
    <t>Mão de Obra Produtiva Propria | Terceirizada</t>
  </si>
  <si>
    <t>Mão de Obra Direta (Produtiva)</t>
  </si>
  <si>
    <t>Valor da MO (Bruta)</t>
  </si>
  <si>
    <t>Valor total da mão de obra</t>
  </si>
  <si>
    <t>Mão de Obra Própria</t>
  </si>
  <si>
    <t>Mão de Obra Terceirizada</t>
  </si>
  <si>
    <t>Valor total descontos com relação complamentar de descontos</t>
  </si>
  <si>
    <t>Valor total custo Mâo Obra</t>
  </si>
  <si>
    <t>Valores oriundos do sistema Precifica Certo</t>
  </si>
  <si>
    <t>Previsão Mensal</t>
  </si>
  <si>
    <t>Custo Produtos</t>
  </si>
  <si>
    <t>Custo Total dos Produtos</t>
  </si>
  <si>
    <t>Custo MO Direta</t>
  </si>
  <si>
    <t>Custo total da MO Direta</t>
  </si>
  <si>
    <t>Coeficiente</t>
  </si>
  <si>
    <t>Total CMV</t>
  </si>
  <si>
    <t>Desp. MO Indireta</t>
  </si>
  <si>
    <t>MO Indireta</t>
  </si>
  <si>
    <t>Desp. Fixa</t>
  </si>
  <si>
    <t>Fixa</t>
  </si>
  <si>
    <t>Desp. Variável</t>
  </si>
  <si>
    <t>Variavel</t>
  </si>
  <si>
    <t>Desp. Financeira</t>
  </si>
  <si>
    <t>Financeira</t>
  </si>
  <si>
    <t>Regime tributário (Verificar % especial)</t>
  </si>
  <si>
    <t>-----&gt;</t>
  </si>
  <si>
    <t>Comissões</t>
  </si>
  <si>
    <t>Comissão</t>
  </si>
  <si>
    <t>Margem de Lucro</t>
  </si>
  <si>
    <t>Lucro Liquido Desejado</t>
  </si>
  <si>
    <t>Impostos sobre o Lucro Líquido</t>
  </si>
  <si>
    <t>Equiv. Sobre Receita</t>
  </si>
  <si>
    <t>Lucro Real Ajustado</t>
  </si>
  <si>
    <t>|</t>
  </si>
  <si>
    <t>CSLL</t>
  </si>
  <si>
    <t>Sobre o Imposto de renda (IRPJ)</t>
  </si>
  <si>
    <t>Impostos sobre o Lucro Real ajustado</t>
  </si>
  <si>
    <t>IRPJ</t>
  </si>
  <si>
    <t>Alíquota da parcela adicional</t>
  </si>
  <si>
    <t>Adicional de IRPJ sobre o Lucro Real ajustado</t>
  </si>
  <si>
    <t>Referente ao ano</t>
  </si>
  <si>
    <t>-------&gt;</t>
  </si>
  <si>
    <t>Alíquota da parcela adicional IRPJ</t>
  </si>
  <si>
    <t>Calculado por dentro ICMS</t>
  </si>
  <si>
    <t>Acionador                                 "x"</t>
  </si>
  <si>
    <t>Preço interno Líquido</t>
  </si>
  <si>
    <t>Receita</t>
  </si>
  <si>
    <t>Valor da alíquota de venda</t>
  </si>
  <si>
    <t>Valor final da alíquota</t>
  </si>
  <si>
    <t>Imposto ICMS</t>
  </si>
  <si>
    <t>Calculado por dentro PIS/COFINS</t>
  </si>
  <si>
    <t>Valor ICMS</t>
  </si>
  <si>
    <t>Base do calculo</t>
  </si>
  <si>
    <t>Imposto PIS/COFINS</t>
  </si>
  <si>
    <t>Calculado por dentro ISS</t>
  </si>
  <si>
    <t>Imposto ISS</t>
  </si>
  <si>
    <t xml:space="preserve">Total Preço de Venda Interno </t>
  </si>
  <si>
    <t>Base do calculo do IPI</t>
  </si>
  <si>
    <t>Acionador MVA                         "x"</t>
  </si>
  <si>
    <t>Valor total de venda líquido</t>
  </si>
  <si>
    <t>Alíquota</t>
  </si>
  <si>
    <t xml:space="preserve">Valor de IPI a reter </t>
  </si>
  <si>
    <t>Total imposto IPI a destacar na nota</t>
  </si>
  <si>
    <t>% Fator de redução da alíquota</t>
  </si>
  <si>
    <t>Base de Débito IBS respeitando a relação complementar de tributos</t>
  </si>
  <si>
    <t>Valor de venda Líquido</t>
  </si>
  <si>
    <t>Alíquota IBS</t>
  </si>
  <si>
    <t>Alíquota Reduzida</t>
  </si>
  <si>
    <t>Déb sob base complem da receita</t>
  </si>
  <si>
    <t>(+)</t>
  </si>
  <si>
    <t>IBS a recolher e destacar na nota</t>
  </si>
  <si>
    <t>Redutor será ativado somente em 2033 no Iva Dual pleno</t>
  </si>
  <si>
    <t>Base de Débito CBS respeitando a relação complementar de tributos</t>
  </si>
  <si>
    <t>Alíquota CBS</t>
  </si>
  <si>
    <t>CBS a  recolher e destacar na nota</t>
  </si>
  <si>
    <t>Valor Total de 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</si>
</sst>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.0000%"/>
    <numFmt numFmtId="165" formatCode="0.00000%"/>
    <numFmt numFmtId="166" formatCode="_-&quot;R$&quot;\ * #,##0.00_-;\-&quot;R$&quot;\ * #,##0.00_-;_-&quot;R$&quot;\ * &quot;-&quot;?????_-;_-@_-"/>
    <numFmt numFmtId="167" formatCode="0.000000%"/>
    <numFmt numFmtId="168" formatCode="0.000%"/>
    <numFmt numFmtId="169" formatCode="_-&quot;R$&quot;\ * #,##0.00_-;\-&quot;R$&quot;\ * #,##0.00_-;_-&quot;R$&quot;\ * &quot;-&quot;????_-;_-@_-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rgb="FF006666"/>
      <name val="Calibri"/>
      <family val="2"/>
      <scheme val="minor"/>
    </font>
    <font>
      <sz val="10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rgb="FF00999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 tint="4.9989318521683403E-2"/>
      <name val="Calibri"/>
      <family val="2"/>
      <scheme val="minor"/>
    </font>
    <font>
      <b/>
      <sz val="2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8"/>
      <color theme="1" tint="4.9989318521683403E-2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4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0"/>
      </left>
      <right style="thin">
        <color theme="1"/>
      </right>
      <top style="thin">
        <color theme="0"/>
      </top>
      <bottom/>
      <diagonal/>
    </border>
    <border>
      <left style="thin">
        <color theme="0"/>
      </left>
      <right style="thin">
        <color theme="1"/>
      </right>
      <top/>
      <bottom/>
      <diagonal/>
    </border>
    <border>
      <left style="thin">
        <color theme="0"/>
      </left>
      <right style="thin">
        <color theme="1"/>
      </right>
      <top/>
      <bottom style="thin">
        <color theme="0"/>
      </bottom>
      <diagonal/>
    </border>
    <border>
      <left/>
      <right style="thin">
        <color theme="1"/>
      </right>
      <top style="thin">
        <color theme="0"/>
      </top>
      <bottom/>
      <diagonal/>
    </border>
    <border>
      <left/>
      <right style="thin">
        <color theme="1"/>
      </right>
      <top/>
      <bottom style="thin">
        <color theme="0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2">
    <xf numFmtId="0" fontId="0" fillId="0" borderId="0" xfId="0"/>
    <xf numFmtId="0" fontId="0" fillId="2" borderId="0" xfId="0" applyFill="1"/>
    <xf numFmtId="0" fontId="5" fillId="2" borderId="0" xfId="0" applyFont="1" applyFill="1"/>
    <xf numFmtId="0" fontId="5" fillId="2" borderId="0" xfId="0" applyFont="1" applyFill="1" applyAlignment="1">
      <alignment horizontal="center"/>
    </xf>
    <xf numFmtId="164" fontId="5" fillId="2" borderId="0" xfId="2" applyNumberFormat="1" applyFont="1" applyFill="1" applyAlignment="1">
      <alignment horizontal="center"/>
    </xf>
    <xf numFmtId="44" fontId="5" fillId="2" borderId="0" xfId="1" applyFont="1" applyFill="1"/>
    <xf numFmtId="165" fontId="5" fillId="2" borderId="0" xfId="2" applyNumberFormat="1" applyFont="1" applyFill="1" applyAlignment="1">
      <alignment horizontal="center"/>
    </xf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center"/>
    </xf>
    <xf numFmtId="44" fontId="0" fillId="2" borderId="0" xfId="0" applyNumberFormat="1" applyFill="1"/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9" fontId="8" fillId="2" borderId="0" xfId="2" applyFont="1" applyFill="1" applyAlignment="1">
      <alignment horizontal="right" vertical="center"/>
    </xf>
    <xf numFmtId="10" fontId="8" fillId="2" borderId="0" xfId="2" applyNumberFormat="1" applyFont="1" applyFill="1" applyAlignment="1">
      <alignment vertical="center"/>
    </xf>
    <xf numFmtId="164" fontId="9" fillId="2" borderId="1" xfId="2" applyNumberFormat="1" applyFont="1" applyFill="1" applyBorder="1"/>
    <xf numFmtId="9" fontId="7" fillId="2" borderId="1" xfId="2" applyFont="1" applyFill="1" applyBorder="1" applyAlignment="1">
      <alignment horizontal="center" vertical="center"/>
    </xf>
    <xf numFmtId="9" fontId="5" fillId="2" borderId="1" xfId="2" applyFont="1" applyFill="1" applyBorder="1" applyAlignment="1">
      <alignment horizontal="center" vertical="center"/>
    </xf>
    <xf numFmtId="9" fontId="7" fillId="2" borderId="1" xfId="2" applyFont="1" applyFill="1" applyBorder="1" applyAlignment="1">
      <alignment horizontal="center" vertical="center"/>
    </xf>
    <xf numFmtId="164" fontId="9" fillId="2" borderId="1" xfId="2" applyNumberFormat="1" applyFont="1" applyFill="1" applyBorder="1" applyAlignment="1">
      <alignment horizontal="center"/>
    </xf>
    <xf numFmtId="164" fontId="8" fillId="2" borderId="0" xfId="2" applyNumberFormat="1" applyFont="1" applyFill="1" applyAlignment="1">
      <alignment horizontal="center"/>
    </xf>
    <xf numFmtId="44" fontId="3" fillId="2" borderId="0" xfId="1" applyFont="1" applyFill="1"/>
    <xf numFmtId="0" fontId="0" fillId="3" borderId="2" xfId="0" applyFill="1" applyBorder="1"/>
    <xf numFmtId="0" fontId="5" fillId="3" borderId="3" xfId="0" applyFont="1" applyFill="1" applyBorder="1"/>
    <xf numFmtId="0" fontId="5" fillId="3" borderId="3" xfId="0" applyFont="1" applyFill="1" applyBorder="1" applyAlignment="1">
      <alignment horizontal="center"/>
    </xf>
    <xf numFmtId="0" fontId="0" fillId="3" borderId="3" xfId="0" applyFill="1" applyBorder="1"/>
    <xf numFmtId="164" fontId="8" fillId="3" borderId="3" xfId="2" applyNumberFormat="1" applyFont="1" applyFill="1" applyBorder="1" applyAlignment="1">
      <alignment horizontal="center"/>
    </xf>
    <xf numFmtId="44" fontId="3" fillId="3" borderId="3" xfId="1" applyFont="1" applyFill="1" applyBorder="1"/>
    <xf numFmtId="44" fontId="5" fillId="3" borderId="3" xfId="1" applyFont="1" applyFill="1" applyBorder="1"/>
    <xf numFmtId="165" fontId="5" fillId="3" borderId="3" xfId="2" applyNumberFormat="1" applyFont="1" applyFill="1" applyBorder="1" applyAlignment="1">
      <alignment horizontal="center"/>
    </xf>
    <xf numFmtId="0" fontId="5" fillId="3" borderId="3" xfId="0" applyFont="1" applyFill="1" applyBorder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0" fillId="3" borderId="0" xfId="0" applyFill="1"/>
    <xf numFmtId="0" fontId="10" fillId="3" borderId="0" xfId="0" applyFont="1" applyFill="1" applyAlignment="1">
      <alignment horizontal="center"/>
    </xf>
    <xf numFmtId="44" fontId="3" fillId="3" borderId="0" xfId="1" applyFont="1" applyFill="1"/>
    <xf numFmtId="44" fontId="5" fillId="3" borderId="0" xfId="1" applyFont="1" applyFill="1"/>
    <xf numFmtId="165" fontId="5" fillId="3" borderId="0" xfId="2" applyNumberFormat="1" applyFont="1" applyFill="1" applyAlignment="1">
      <alignment horizontal="center"/>
    </xf>
    <xf numFmtId="0" fontId="5" fillId="3" borderId="0" xfId="0" applyFont="1" applyFill="1" applyAlignment="1">
      <alignment horizontal="right"/>
    </xf>
    <xf numFmtId="0" fontId="0" fillId="3" borderId="6" xfId="0" applyFill="1" applyBorder="1"/>
    <xf numFmtId="164" fontId="8" fillId="3" borderId="0" xfId="2" applyNumberFormat="1" applyFont="1" applyFill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44" fontId="12" fillId="3" borderId="9" xfId="1" applyFont="1" applyFill="1" applyBorder="1" applyAlignment="1">
      <alignment horizontal="center" vertical="center" wrapText="1"/>
    </xf>
    <xf numFmtId="44" fontId="12" fillId="3" borderId="10" xfId="1" applyFont="1" applyFill="1" applyBorder="1" applyAlignment="1">
      <alignment horizontal="center" vertical="center" wrapText="1"/>
    </xf>
    <xf numFmtId="44" fontId="13" fillId="3" borderId="0" xfId="1" applyFont="1" applyFill="1" applyAlignment="1">
      <alignment vertical="center"/>
    </xf>
    <xf numFmtId="44" fontId="12" fillId="3" borderId="11" xfId="1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/>
    </xf>
    <xf numFmtId="0" fontId="14" fillId="3" borderId="11" xfId="0" applyFont="1" applyFill="1" applyBorder="1" applyAlignment="1">
      <alignment horizontal="center" vertical="center"/>
    </xf>
    <xf numFmtId="44" fontId="12" fillId="3" borderId="11" xfId="1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44" fontId="16" fillId="3" borderId="9" xfId="1" applyFont="1" applyFill="1" applyBorder="1" applyAlignment="1">
      <alignment horizontal="center" vertical="center"/>
    </xf>
    <xf numFmtId="44" fontId="16" fillId="3" borderId="10" xfId="1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left" vertical="center"/>
    </xf>
    <xf numFmtId="0" fontId="15" fillId="3" borderId="9" xfId="0" applyFont="1" applyFill="1" applyBorder="1" applyAlignment="1">
      <alignment horizontal="left" vertical="center"/>
    </xf>
    <xf numFmtId="0" fontId="15" fillId="3" borderId="10" xfId="0" applyFont="1" applyFill="1" applyBorder="1" applyAlignment="1">
      <alignment horizontal="left" vertical="center"/>
    </xf>
    <xf numFmtId="44" fontId="15" fillId="3" borderId="9" xfId="1" applyFont="1" applyFill="1" applyBorder="1" applyAlignment="1">
      <alignment horizontal="center" vertical="center"/>
    </xf>
    <xf numFmtId="44" fontId="15" fillId="3" borderId="10" xfId="1" applyFont="1" applyFill="1" applyBorder="1" applyAlignment="1">
      <alignment horizontal="center" vertical="center"/>
    </xf>
    <xf numFmtId="44" fontId="15" fillId="3" borderId="12" xfId="1" applyFont="1" applyFill="1" applyBorder="1" applyAlignment="1">
      <alignment horizontal="center" vertical="center"/>
    </xf>
    <xf numFmtId="0" fontId="15" fillId="3" borderId="11" xfId="0" applyFont="1" applyFill="1" applyBorder="1" applyAlignment="1">
      <alignment horizontal="left" vertical="center"/>
    </xf>
    <xf numFmtId="44" fontId="17" fillId="3" borderId="11" xfId="1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left" vertical="center"/>
    </xf>
    <xf numFmtId="0" fontId="18" fillId="3" borderId="9" xfId="0" applyFont="1" applyFill="1" applyBorder="1" applyAlignment="1">
      <alignment horizontal="left" vertical="center"/>
    </xf>
    <xf numFmtId="0" fontId="18" fillId="3" borderId="10" xfId="0" applyFont="1" applyFill="1" applyBorder="1" applyAlignment="1">
      <alignment horizontal="left" vertical="center"/>
    </xf>
    <xf numFmtId="0" fontId="12" fillId="3" borderId="8" xfId="0" applyFont="1" applyFill="1" applyBorder="1" applyAlignment="1">
      <alignment horizontal="left" vertical="center"/>
    </xf>
    <xf numFmtId="0" fontId="16" fillId="3" borderId="9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44" fontId="17" fillId="3" borderId="8" xfId="1" applyFont="1" applyFill="1" applyBorder="1" applyAlignment="1">
      <alignment horizontal="center" vertical="center"/>
    </xf>
    <xf numFmtId="44" fontId="17" fillId="3" borderId="10" xfId="1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left" vertical="center"/>
    </xf>
    <xf numFmtId="0" fontId="14" fillId="3" borderId="10" xfId="0" applyFont="1" applyFill="1" applyBorder="1" applyAlignment="1">
      <alignment horizontal="left" vertical="center"/>
    </xf>
    <xf numFmtId="44" fontId="17" fillId="3" borderId="11" xfId="1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18" fillId="3" borderId="0" xfId="0" applyFont="1" applyFill="1" applyAlignment="1">
      <alignment horizontal="left" vertical="center"/>
    </xf>
    <xf numFmtId="44" fontId="16" fillId="3" borderId="0" xfId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44" fontId="17" fillId="3" borderId="0" xfId="1" applyFont="1" applyFill="1" applyAlignment="1">
      <alignment horizontal="center" vertical="center"/>
    </xf>
    <xf numFmtId="0" fontId="14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5" fillId="3" borderId="13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44" fontId="13" fillId="3" borderId="0" xfId="1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7" fillId="3" borderId="0" xfId="0" applyFont="1" applyFill="1" applyAlignment="1">
      <alignment horizontal="center" vertical="center"/>
    </xf>
    <xf numFmtId="0" fontId="0" fillId="3" borderId="7" xfId="0" applyFill="1" applyBorder="1"/>
    <xf numFmtId="0" fontId="11" fillId="3" borderId="14" xfId="0" applyFont="1" applyFill="1" applyBorder="1" applyAlignment="1">
      <alignment horizontal="center" vertical="center"/>
    </xf>
    <xf numFmtId="44" fontId="5" fillId="3" borderId="15" xfId="0" applyNumberFormat="1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left"/>
    </xf>
    <xf numFmtId="10" fontId="14" fillId="3" borderId="16" xfId="2" applyNumberFormat="1" applyFont="1" applyFill="1" applyBorder="1" applyAlignment="1">
      <alignment horizontal="center"/>
    </xf>
    <xf numFmtId="0" fontId="16" fillId="3" borderId="11" xfId="0" applyFont="1" applyFill="1" applyBorder="1" applyAlignment="1">
      <alignment horizontal="center"/>
    </xf>
    <xf numFmtId="44" fontId="14" fillId="3" borderId="16" xfId="0" applyNumberFormat="1" applyFont="1" applyFill="1" applyBorder="1" applyAlignment="1">
      <alignment horizontal="center"/>
    </xf>
    <xf numFmtId="0" fontId="14" fillId="3" borderId="16" xfId="0" applyFont="1" applyFill="1" applyBorder="1" applyAlignment="1">
      <alignment horizontal="center"/>
    </xf>
    <xf numFmtId="164" fontId="5" fillId="3" borderId="0" xfId="2" applyNumberFormat="1" applyFont="1" applyFill="1" applyAlignment="1">
      <alignment horizontal="center"/>
    </xf>
    <xf numFmtId="0" fontId="4" fillId="3" borderId="16" xfId="0" applyFont="1" applyFill="1" applyBorder="1"/>
    <xf numFmtId="44" fontId="14" fillId="3" borderId="16" xfId="0" applyNumberFormat="1" applyFont="1" applyFill="1" applyBorder="1"/>
    <xf numFmtId="0" fontId="4" fillId="3" borderId="0" xfId="0" applyFont="1" applyFill="1"/>
    <xf numFmtId="0" fontId="0" fillId="3" borderId="1" xfId="0" applyFill="1" applyBorder="1"/>
    <xf numFmtId="0" fontId="5" fillId="3" borderId="17" xfId="0" applyFont="1" applyFill="1" applyBorder="1" applyAlignment="1">
      <alignment horizontal="right"/>
    </xf>
    <xf numFmtId="0" fontId="14" fillId="3" borderId="0" xfId="0" applyFont="1" applyFill="1" applyAlignment="1">
      <alignment horizontal="right"/>
    </xf>
    <xf numFmtId="0" fontId="19" fillId="2" borderId="0" xfId="0" applyFont="1" applyFill="1"/>
    <xf numFmtId="0" fontId="19" fillId="3" borderId="5" xfId="0" applyFont="1" applyFill="1" applyBorder="1"/>
    <xf numFmtId="0" fontId="5" fillId="3" borderId="1" xfId="0" applyFont="1" applyFill="1" applyBorder="1" applyAlignment="1">
      <alignment horizontal="right"/>
    </xf>
    <xf numFmtId="44" fontId="5" fillId="3" borderId="1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9" fillId="3" borderId="0" xfId="0" applyFont="1" applyFill="1"/>
    <xf numFmtId="164" fontId="19" fillId="3" borderId="0" xfId="2" applyNumberFormat="1" applyFont="1" applyFill="1" applyAlignment="1">
      <alignment horizontal="center"/>
    </xf>
    <xf numFmtId="44" fontId="20" fillId="3" borderId="16" xfId="0" applyNumberFormat="1" applyFont="1" applyFill="1" applyBorder="1"/>
    <xf numFmtId="44" fontId="20" fillId="3" borderId="16" xfId="0" applyNumberFormat="1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19" fillId="3" borderId="6" xfId="0" applyFont="1" applyFill="1" applyBorder="1"/>
    <xf numFmtId="0" fontId="5" fillId="3" borderId="0" xfId="0" applyFont="1" applyFill="1" applyAlignment="1">
      <alignment horizontal="left"/>
    </xf>
    <xf numFmtId="0" fontId="7" fillId="4" borderId="19" xfId="0" applyFont="1" applyFill="1" applyBorder="1" applyAlignment="1">
      <alignment horizontal="center"/>
    </xf>
    <xf numFmtId="0" fontId="7" fillId="4" borderId="20" xfId="0" applyFont="1" applyFill="1" applyBorder="1" applyAlignment="1">
      <alignment horizontal="center"/>
    </xf>
    <xf numFmtId="44" fontId="7" fillId="4" borderId="21" xfId="1" applyFont="1" applyFill="1" applyBorder="1" applyAlignment="1">
      <alignment horizontal="center"/>
    </xf>
    <xf numFmtId="44" fontId="7" fillId="4" borderId="22" xfId="1" applyFont="1" applyFill="1" applyBorder="1" applyAlignment="1">
      <alignment horizontal="center"/>
    </xf>
    <xf numFmtId="0" fontId="21" fillId="4" borderId="8" xfId="0" applyFont="1" applyFill="1" applyBorder="1"/>
    <xf numFmtId="0" fontId="21" fillId="4" borderId="9" xfId="0" applyFont="1" applyFill="1" applyBorder="1"/>
    <xf numFmtId="44" fontId="21" fillId="4" borderId="9" xfId="0" applyNumberFormat="1" applyFont="1" applyFill="1" applyBorder="1" applyAlignment="1">
      <alignment horizontal="center"/>
    </xf>
    <xf numFmtId="0" fontId="21" fillId="4" borderId="10" xfId="0" applyFont="1" applyFill="1" applyBorder="1" applyAlignment="1">
      <alignment horizontal="center"/>
    </xf>
    <xf numFmtId="0" fontId="11" fillId="3" borderId="0" xfId="0" applyFont="1" applyFill="1"/>
    <xf numFmtId="0" fontId="21" fillId="4" borderId="10" xfId="0" applyFont="1" applyFill="1" applyBorder="1"/>
    <xf numFmtId="44" fontId="22" fillId="4" borderId="10" xfId="1" applyFont="1" applyFill="1" applyBorder="1"/>
    <xf numFmtId="0" fontId="19" fillId="4" borderId="9" xfId="0" applyFont="1" applyFill="1" applyBorder="1"/>
    <xf numFmtId="44" fontId="19" fillId="4" borderId="9" xfId="1" applyFont="1" applyFill="1" applyBorder="1"/>
    <xf numFmtId="44" fontId="22" fillId="4" borderId="8" xfId="1" applyFont="1" applyFill="1" applyBorder="1" applyAlignment="1">
      <alignment horizontal="center"/>
    </xf>
    <xf numFmtId="44" fontId="22" fillId="4" borderId="10" xfId="1" applyFont="1" applyFill="1" applyBorder="1" applyAlignment="1">
      <alignment horizontal="center"/>
    </xf>
    <xf numFmtId="0" fontId="19" fillId="3" borderId="23" xfId="0" applyFont="1" applyFill="1" applyBorder="1"/>
    <xf numFmtId="0" fontId="11" fillId="3" borderId="16" xfId="0" applyFont="1" applyFill="1" applyBorder="1"/>
    <xf numFmtId="0" fontId="19" fillId="3" borderId="16" xfId="0" applyFont="1" applyFill="1" applyBorder="1"/>
    <xf numFmtId="44" fontId="19" fillId="3" borderId="16" xfId="1" applyFont="1" applyFill="1" applyBorder="1"/>
    <xf numFmtId="0" fontId="5" fillId="3" borderId="16" xfId="0" applyFont="1" applyFill="1" applyBorder="1" applyAlignment="1">
      <alignment horizontal="center" vertical="top"/>
    </xf>
    <xf numFmtId="0" fontId="0" fillId="3" borderId="16" xfId="0" applyFill="1" applyBorder="1"/>
    <xf numFmtId="165" fontId="19" fillId="3" borderId="16" xfId="2" applyNumberFormat="1" applyFont="1" applyFill="1" applyBorder="1" applyAlignment="1">
      <alignment horizontal="center"/>
    </xf>
    <xf numFmtId="0" fontId="19" fillId="3" borderId="16" xfId="0" applyFont="1" applyFill="1" applyBorder="1" applyAlignment="1">
      <alignment horizontal="right"/>
    </xf>
    <xf numFmtId="0" fontId="5" fillId="3" borderId="16" xfId="0" applyFont="1" applyFill="1" applyBorder="1" applyAlignment="1">
      <alignment horizontal="center" vertical="top"/>
    </xf>
    <xf numFmtId="0" fontId="19" fillId="3" borderId="24" xfId="0" applyFont="1" applyFill="1" applyBorder="1"/>
    <xf numFmtId="0" fontId="11" fillId="2" borderId="0" xfId="0" applyFont="1" applyFill="1"/>
    <xf numFmtId="44" fontId="19" fillId="2" borderId="0" xfId="1" applyFont="1" applyFill="1"/>
    <xf numFmtId="164" fontId="19" fillId="2" borderId="0" xfId="2" applyNumberFormat="1" applyFont="1" applyFill="1" applyAlignment="1">
      <alignment horizontal="center"/>
    </xf>
    <xf numFmtId="0" fontId="19" fillId="5" borderId="2" xfId="0" applyFont="1" applyFill="1" applyBorder="1"/>
    <xf numFmtId="0" fontId="11" fillId="5" borderId="3" xfId="0" applyFont="1" applyFill="1" applyBorder="1"/>
    <xf numFmtId="0" fontId="19" fillId="5" borderId="3" xfId="0" applyFont="1" applyFill="1" applyBorder="1"/>
    <xf numFmtId="44" fontId="19" fillId="5" borderId="3" xfId="1" applyFont="1" applyFill="1" applyBorder="1"/>
    <xf numFmtId="164" fontId="19" fillId="5" borderId="3" xfId="2" applyNumberFormat="1" applyFont="1" applyFill="1" applyBorder="1" applyAlignment="1">
      <alignment horizontal="center"/>
    </xf>
    <xf numFmtId="0" fontId="19" fillId="5" borderId="4" xfId="0" applyFont="1" applyFill="1" applyBorder="1"/>
    <xf numFmtId="0" fontId="19" fillId="5" borderId="5" xfId="0" applyFont="1" applyFill="1" applyBorder="1"/>
    <xf numFmtId="0" fontId="11" fillId="5" borderId="0" xfId="0" applyFont="1" applyFill="1"/>
    <xf numFmtId="0" fontId="19" fillId="5" borderId="0" xfId="0" applyFont="1" applyFill="1"/>
    <xf numFmtId="44" fontId="19" fillId="5" borderId="0" xfId="1" applyFont="1" applyFill="1"/>
    <xf numFmtId="0" fontId="10" fillId="5" borderId="0" xfId="0" applyFont="1" applyFill="1" applyAlignment="1">
      <alignment horizontal="center"/>
    </xf>
    <xf numFmtId="0" fontId="19" fillId="5" borderId="6" xfId="0" applyFont="1" applyFill="1" applyBorder="1"/>
    <xf numFmtId="164" fontId="19" fillId="5" borderId="0" xfId="2" applyNumberFormat="1" applyFont="1" applyFill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7" fillId="2" borderId="0" xfId="0" applyFont="1" applyFill="1"/>
    <xf numFmtId="0" fontId="7" fillId="5" borderId="0" xfId="0" applyFont="1" applyFill="1"/>
    <xf numFmtId="9" fontId="23" fillId="5" borderId="0" xfId="2" applyFont="1" applyFill="1" applyAlignment="1">
      <alignment vertical="center" wrapText="1"/>
    </xf>
    <xf numFmtId="0" fontId="17" fillId="5" borderId="11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9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center" vertical="center"/>
    </xf>
    <xf numFmtId="44" fontId="7" fillId="2" borderId="0" xfId="0" applyNumberFormat="1" applyFont="1" applyFill="1"/>
    <xf numFmtId="0" fontId="19" fillId="2" borderId="0" xfId="0" applyFont="1" applyFill="1" applyAlignment="1">
      <alignment horizontal="center" vertical="center"/>
    </xf>
    <xf numFmtId="0" fontId="19" fillId="5" borderId="5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left" vertical="center"/>
    </xf>
    <xf numFmtId="0" fontId="6" fillId="5" borderId="26" xfId="0" applyFont="1" applyFill="1" applyBorder="1" applyAlignment="1">
      <alignment horizontal="left" vertical="center"/>
    </xf>
    <xf numFmtId="0" fontId="6" fillId="5" borderId="27" xfId="0" applyFont="1" applyFill="1" applyBorder="1" applyAlignment="1">
      <alignment horizontal="left" vertical="center"/>
    </xf>
    <xf numFmtId="44" fontId="6" fillId="5" borderId="28" xfId="1" applyFont="1" applyFill="1" applyBorder="1" applyAlignment="1">
      <alignment horizontal="center" vertical="center"/>
    </xf>
    <xf numFmtId="44" fontId="13" fillId="5" borderId="0" xfId="1" applyFont="1" applyFill="1" applyAlignment="1">
      <alignment horizontal="center" vertical="center"/>
    </xf>
    <xf numFmtId="0" fontId="17" fillId="5" borderId="11" xfId="0" applyFont="1" applyFill="1" applyBorder="1" applyAlignment="1">
      <alignment horizontal="left" vertical="center"/>
    </xf>
    <xf numFmtId="44" fontId="6" fillId="6" borderId="11" xfId="1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left" vertical="center"/>
    </xf>
    <xf numFmtId="0" fontId="17" fillId="5" borderId="9" xfId="0" applyFont="1" applyFill="1" applyBorder="1" applyAlignment="1">
      <alignment horizontal="left" vertical="center"/>
    </xf>
    <xf numFmtId="0" fontId="17" fillId="5" borderId="10" xfId="0" applyFont="1" applyFill="1" applyBorder="1" applyAlignment="1">
      <alignment horizontal="left" vertical="center"/>
    </xf>
    <xf numFmtId="44" fontId="6" fillId="6" borderId="11" xfId="1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164" fontId="19" fillId="2" borderId="0" xfId="2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0" fontId="19" fillId="2" borderId="0" xfId="2" applyNumberFormat="1" applyFont="1" applyFill="1" applyAlignment="1">
      <alignment horizontal="center" vertical="center"/>
    </xf>
    <xf numFmtId="44" fontId="7" fillId="2" borderId="0" xfId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left" vertical="center"/>
    </xf>
    <xf numFmtId="44" fontId="17" fillId="5" borderId="0" xfId="1" applyFont="1" applyFill="1" applyAlignment="1">
      <alignment horizontal="center" vertical="center"/>
    </xf>
    <xf numFmtId="44" fontId="13" fillId="5" borderId="0" xfId="1" applyFont="1" applyFill="1" applyAlignment="1">
      <alignment vertical="center"/>
    </xf>
    <xf numFmtId="44" fontId="17" fillId="5" borderId="0" xfId="1" applyFont="1" applyFill="1" applyAlignment="1">
      <alignment vertical="center"/>
    </xf>
    <xf numFmtId="164" fontId="19" fillId="2" borderId="0" xfId="2" applyNumberFormat="1" applyFont="1" applyFill="1" applyAlignment="1">
      <alignment horizontal="left"/>
    </xf>
    <xf numFmtId="10" fontId="19" fillId="2" borderId="0" xfId="2" applyNumberFormat="1" applyFont="1" applyFill="1" applyAlignment="1">
      <alignment horizontal="left"/>
    </xf>
    <xf numFmtId="44" fontId="7" fillId="2" borderId="0" xfId="1" applyFont="1" applyFill="1"/>
    <xf numFmtId="0" fontId="11" fillId="5" borderId="0" xfId="0" applyFont="1" applyFill="1" applyAlignment="1">
      <alignment horizontal="center" vertical="center"/>
    </xf>
    <xf numFmtId="0" fontId="5" fillId="5" borderId="29" xfId="0" applyFont="1" applyFill="1" applyBorder="1" applyAlignment="1">
      <alignment horizontal="center" vertical="center" wrapText="1"/>
    </xf>
    <xf numFmtId="0" fontId="5" fillId="5" borderId="30" xfId="0" applyFont="1" applyFill="1" applyBorder="1" applyAlignment="1">
      <alignment horizontal="center" vertical="center" wrapText="1"/>
    </xf>
    <xf numFmtId="0" fontId="17" fillId="5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 wrapText="1"/>
    </xf>
    <xf numFmtId="44" fontId="19" fillId="2" borderId="0" xfId="1" applyFont="1" applyFill="1" applyAlignment="1">
      <alignment horizontal="center" vertical="center"/>
    </xf>
    <xf numFmtId="0" fontId="0" fillId="5" borderId="5" xfId="0" applyFill="1" applyBorder="1"/>
    <xf numFmtId="0" fontId="0" fillId="5" borderId="7" xfId="0" applyFill="1" applyBorder="1" applyAlignment="1">
      <alignment horizontal="left"/>
    </xf>
    <xf numFmtId="0" fontId="0" fillId="5" borderId="14" xfId="0" applyFill="1" applyBorder="1" applyAlignment="1">
      <alignment horizontal="left"/>
    </xf>
    <xf numFmtId="44" fontId="5" fillId="5" borderId="15" xfId="0" applyNumberFormat="1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0" fillId="5" borderId="0" xfId="0" applyFill="1"/>
    <xf numFmtId="0" fontId="4" fillId="5" borderId="0" xfId="0" applyFont="1" applyFill="1"/>
    <xf numFmtId="10" fontId="14" fillId="5" borderId="0" xfId="2" applyNumberFormat="1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44" fontId="24" fillId="5" borderId="0" xfId="0" applyNumberFormat="1" applyFont="1" applyFill="1"/>
    <xf numFmtId="0" fontId="24" fillId="5" borderId="0" xfId="0" applyFont="1" applyFill="1"/>
    <xf numFmtId="164" fontId="5" fillId="5" borderId="0" xfId="2" applyNumberFormat="1" applyFont="1" applyFill="1" applyAlignment="1">
      <alignment horizontal="center"/>
    </xf>
    <xf numFmtId="0" fontId="4" fillId="5" borderId="16" xfId="0" applyFont="1" applyFill="1" applyBorder="1"/>
    <xf numFmtId="10" fontId="14" fillId="5" borderId="16" xfId="2" applyNumberFormat="1" applyFont="1" applyFill="1" applyBorder="1" applyAlignment="1">
      <alignment horizontal="center"/>
    </xf>
    <xf numFmtId="0" fontId="16" fillId="5" borderId="11" xfId="0" applyFont="1" applyFill="1" applyBorder="1" applyAlignment="1">
      <alignment horizontal="center"/>
    </xf>
    <xf numFmtId="44" fontId="24" fillId="5" borderId="16" xfId="0" applyNumberFormat="1" applyFont="1" applyFill="1" applyBorder="1"/>
    <xf numFmtId="0" fontId="0" fillId="5" borderId="6" xfId="0" applyFill="1" applyBorder="1"/>
    <xf numFmtId="0" fontId="25" fillId="2" borderId="0" xfId="0" applyFont="1" applyFill="1"/>
    <xf numFmtId="44" fontId="25" fillId="2" borderId="0" xfId="1" applyFont="1" applyFill="1"/>
    <xf numFmtId="44" fontId="19" fillId="5" borderId="0" xfId="0" applyNumberFormat="1" applyFont="1" applyFill="1"/>
    <xf numFmtId="0" fontId="5" fillId="5" borderId="19" xfId="0" applyFont="1" applyFill="1" applyBorder="1" applyAlignment="1">
      <alignment horizontal="center"/>
    </xf>
    <xf numFmtId="0" fontId="5" fillId="5" borderId="20" xfId="0" applyFont="1" applyFill="1" applyBorder="1" applyAlignment="1">
      <alignment horizontal="center"/>
    </xf>
    <xf numFmtId="0" fontId="5" fillId="5" borderId="31" xfId="0" applyFont="1" applyFill="1" applyBorder="1" applyAlignment="1">
      <alignment horizontal="center"/>
    </xf>
    <xf numFmtId="44" fontId="19" fillId="5" borderId="19" xfId="1" applyFont="1" applyFill="1" applyBorder="1" applyAlignment="1">
      <alignment horizontal="center"/>
    </xf>
    <xf numFmtId="44" fontId="19" fillId="5" borderId="31" xfId="1" applyFont="1" applyFill="1" applyBorder="1" applyAlignment="1">
      <alignment horizontal="center"/>
    </xf>
    <xf numFmtId="0" fontId="0" fillId="5" borderId="23" xfId="0" applyFill="1" applyBorder="1"/>
    <xf numFmtId="0" fontId="5" fillId="5" borderId="16" xfId="0" applyFont="1" applyFill="1" applyBorder="1"/>
    <xf numFmtId="0" fontId="5" fillId="5" borderId="16" xfId="0" applyFont="1" applyFill="1" applyBorder="1" applyAlignment="1">
      <alignment horizontal="center"/>
    </xf>
    <xf numFmtId="0" fontId="0" fillId="5" borderId="16" xfId="0" applyFill="1" applyBorder="1"/>
    <xf numFmtId="164" fontId="5" fillId="5" borderId="16" xfId="2" applyNumberFormat="1" applyFont="1" applyFill="1" applyBorder="1" applyAlignment="1">
      <alignment horizontal="center"/>
    </xf>
    <xf numFmtId="44" fontId="5" fillId="5" borderId="16" xfId="1" applyFont="1" applyFill="1" applyBorder="1"/>
    <xf numFmtId="44" fontId="0" fillId="5" borderId="16" xfId="0" applyNumberFormat="1" applyFill="1" applyBorder="1"/>
    <xf numFmtId="44" fontId="0" fillId="5" borderId="24" xfId="1" applyFont="1" applyFill="1" applyBorder="1"/>
    <xf numFmtId="44" fontId="5" fillId="2" borderId="0" xfId="1" applyFont="1" applyFill="1" applyAlignment="1">
      <alignment horizontal="center"/>
    </xf>
    <xf numFmtId="165" fontId="5" fillId="2" borderId="0" xfId="2" applyNumberFormat="1" applyFont="1" applyFill="1"/>
    <xf numFmtId="44" fontId="0" fillId="2" borderId="0" xfId="1" applyFont="1" applyFill="1"/>
    <xf numFmtId="0" fontId="5" fillId="7" borderId="32" xfId="0" applyFont="1" applyFill="1" applyBorder="1" applyAlignment="1">
      <alignment horizontal="center"/>
    </xf>
    <xf numFmtId="0" fontId="5" fillId="7" borderId="33" xfId="0" applyFont="1" applyFill="1" applyBorder="1" applyAlignment="1">
      <alignment horizontal="center"/>
    </xf>
    <xf numFmtId="0" fontId="5" fillId="7" borderId="34" xfId="0" applyFont="1" applyFill="1" applyBorder="1" applyAlignment="1">
      <alignment horizontal="center"/>
    </xf>
    <xf numFmtId="0" fontId="5" fillId="2" borderId="7" xfId="0" applyFont="1" applyFill="1" applyBorder="1"/>
    <xf numFmtId="10" fontId="5" fillId="2" borderId="7" xfId="2" applyNumberFormat="1" applyFont="1" applyFill="1" applyBorder="1" applyAlignment="1">
      <alignment horizontal="left"/>
    </xf>
    <xf numFmtId="44" fontId="5" fillId="2" borderId="7" xfId="1" applyFont="1" applyFill="1" applyBorder="1"/>
    <xf numFmtId="0" fontId="0" fillId="2" borderId="7" xfId="0" applyFill="1" applyBorder="1"/>
    <xf numFmtId="164" fontId="5" fillId="2" borderId="7" xfId="2" applyNumberFormat="1" applyFont="1" applyFill="1" applyBorder="1" applyAlignment="1">
      <alignment horizontal="center"/>
    </xf>
    <xf numFmtId="0" fontId="5" fillId="7" borderId="35" xfId="0" applyFont="1" applyFill="1" applyBorder="1" applyAlignment="1">
      <alignment horizontal="left" vertical="center"/>
    </xf>
    <xf numFmtId="0" fontId="5" fillId="7" borderId="36" xfId="0" applyFont="1" applyFill="1" applyBorder="1" applyAlignment="1">
      <alignment horizontal="center" vertical="center"/>
    </xf>
    <xf numFmtId="0" fontId="5" fillId="7" borderId="37" xfId="0" applyFont="1" applyFill="1" applyBorder="1" applyAlignment="1">
      <alignment horizontal="center" vertical="center"/>
    </xf>
    <xf numFmtId="0" fontId="0" fillId="2" borderId="2" xfId="0" applyFill="1" applyBorder="1"/>
    <xf numFmtId="0" fontId="5" fillId="7" borderId="3" xfId="0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center" vertical="center"/>
    </xf>
    <xf numFmtId="0" fontId="0" fillId="2" borderId="3" xfId="0" applyFill="1" applyBorder="1"/>
    <xf numFmtId="164" fontId="5" fillId="2" borderId="3" xfId="2" applyNumberFormat="1" applyFont="1" applyFill="1" applyBorder="1" applyAlignment="1">
      <alignment horizontal="center"/>
    </xf>
    <xf numFmtId="44" fontId="5" fillId="2" borderId="3" xfId="1" applyFont="1" applyFill="1" applyBorder="1"/>
    <xf numFmtId="44" fontId="0" fillId="2" borderId="4" xfId="1" applyFont="1" applyFill="1" applyBorder="1"/>
    <xf numFmtId="10" fontId="0" fillId="2" borderId="5" xfId="0" applyNumberFormat="1" applyFill="1" applyBorder="1" applyAlignment="1">
      <alignment horizontal="center" textRotation="90"/>
    </xf>
    <xf numFmtId="0" fontId="5" fillId="7" borderId="0" xfId="0" applyFont="1" applyFill="1"/>
    <xf numFmtId="10" fontId="5" fillId="7" borderId="0" xfId="2" applyNumberFormat="1" applyFont="1" applyFill="1" applyAlignment="1">
      <alignment horizontal="center" vertical="center"/>
    </xf>
    <xf numFmtId="164" fontId="1" fillId="3" borderId="0" xfId="2" applyNumberFormat="1" applyFill="1" applyAlignment="1">
      <alignment horizontal="left"/>
    </xf>
    <xf numFmtId="0" fontId="1" fillId="3" borderId="0" xfId="0" applyFont="1" applyFill="1"/>
    <xf numFmtId="44" fontId="1" fillId="3" borderId="0" xfId="1" applyFill="1" applyProtection="1">
      <protection locked="0"/>
    </xf>
    <xf numFmtId="44" fontId="0" fillId="2" borderId="6" xfId="1" applyFont="1" applyFill="1" applyBorder="1"/>
    <xf numFmtId="0" fontId="0" fillId="2" borderId="5" xfId="0" applyFill="1" applyBorder="1" applyAlignment="1">
      <alignment horizontal="center" textRotation="90"/>
    </xf>
    <xf numFmtId="44" fontId="5" fillId="7" borderId="0" xfId="1" applyFont="1" applyFill="1"/>
    <xf numFmtId="10" fontId="5" fillId="2" borderId="0" xfId="2" applyNumberFormat="1" applyFont="1" applyFill="1" applyAlignment="1">
      <alignment horizontal="center"/>
    </xf>
    <xf numFmtId="44" fontId="5" fillId="3" borderId="0" xfId="1" applyFont="1" applyFill="1" applyAlignment="1">
      <alignment horizontal="right"/>
    </xf>
    <xf numFmtId="0" fontId="0" fillId="2" borderId="23" xfId="0" applyFill="1" applyBorder="1" applyAlignment="1">
      <alignment horizontal="center" textRotation="90"/>
    </xf>
    <xf numFmtId="0" fontId="5" fillId="7" borderId="16" xfId="0" applyFont="1" applyFill="1" applyBorder="1"/>
    <xf numFmtId="0" fontId="5" fillId="7" borderId="16" xfId="0" applyFont="1" applyFill="1" applyBorder="1" applyAlignment="1">
      <alignment horizontal="center"/>
    </xf>
    <xf numFmtId="0" fontId="0" fillId="2" borderId="16" xfId="0" applyFill="1" applyBorder="1"/>
    <xf numFmtId="164" fontId="5" fillId="2" borderId="16" xfId="2" applyNumberFormat="1" applyFont="1" applyFill="1" applyBorder="1" applyAlignment="1">
      <alignment horizontal="center"/>
    </xf>
    <xf numFmtId="44" fontId="5" fillId="2" borderId="16" xfId="1" applyFont="1" applyFill="1" applyBorder="1"/>
    <xf numFmtId="44" fontId="0" fillId="2" borderId="24" xfId="1" applyFont="1" applyFill="1" applyBorder="1"/>
    <xf numFmtId="0" fontId="5" fillId="7" borderId="13" xfId="0" applyFont="1" applyFill="1" applyBorder="1"/>
    <xf numFmtId="0" fontId="5" fillId="7" borderId="38" xfId="0" applyFont="1" applyFill="1" applyBorder="1" applyAlignment="1">
      <alignment horizontal="center"/>
    </xf>
    <xf numFmtId="164" fontId="5" fillId="2" borderId="0" xfId="0" applyNumberFormat="1" applyFont="1" applyFill="1" applyAlignment="1">
      <alignment horizontal="right"/>
    </xf>
    <xf numFmtId="165" fontId="5" fillId="2" borderId="0" xfId="0" applyNumberFormat="1" applyFont="1" applyFill="1" applyAlignment="1">
      <alignment horizontal="center"/>
    </xf>
    <xf numFmtId="0" fontId="0" fillId="2" borderId="0" xfId="0" applyFill="1" applyAlignment="1">
      <alignment horizontal="right"/>
    </xf>
    <xf numFmtId="0" fontId="5" fillId="7" borderId="3" xfId="0" applyFont="1" applyFill="1" applyBorder="1"/>
    <xf numFmtId="0" fontId="5" fillId="7" borderId="3" xfId="0" applyFont="1" applyFill="1" applyBorder="1" applyAlignment="1">
      <alignment horizontal="center"/>
    </xf>
    <xf numFmtId="10" fontId="0" fillId="2" borderId="5" xfId="0" applyNumberFormat="1" applyFill="1" applyBorder="1" applyAlignment="1">
      <alignment horizontal="center" vertical="center" textRotation="90"/>
    </xf>
    <xf numFmtId="44" fontId="5" fillId="7" borderId="0" xfId="0" applyNumberFormat="1" applyFont="1" applyFill="1"/>
    <xf numFmtId="10" fontId="5" fillId="6" borderId="0" xfId="2" applyNumberFormat="1" applyFont="1" applyFill="1" applyAlignment="1">
      <alignment horizontal="center" vertical="center"/>
    </xf>
    <xf numFmtId="44" fontId="5" fillId="2" borderId="0" xfId="1" applyFont="1" applyFill="1" applyAlignment="1">
      <alignment horizontal="right"/>
    </xf>
    <xf numFmtId="0" fontId="0" fillId="2" borderId="5" xfId="0" applyFill="1" applyBorder="1" applyAlignment="1">
      <alignment horizontal="center" vertical="center" textRotation="90"/>
    </xf>
    <xf numFmtId="0" fontId="0" fillId="2" borderId="23" xfId="0" applyFill="1" applyBorder="1" applyAlignment="1">
      <alignment horizontal="center" vertical="center" textRotation="90"/>
    </xf>
    <xf numFmtId="44" fontId="0" fillId="2" borderId="16" xfId="1" applyFont="1" applyFill="1" applyBorder="1"/>
    <xf numFmtId="10" fontId="5" fillId="7" borderId="38" xfId="0" applyNumberFormat="1" applyFont="1" applyFill="1" applyBorder="1" applyAlignment="1">
      <alignment horizontal="center"/>
    </xf>
    <xf numFmtId="10" fontId="0" fillId="2" borderId="39" xfId="0" applyNumberFormat="1" applyFill="1" applyBorder="1" applyAlignment="1">
      <alignment horizontal="center" vertical="center" textRotation="90"/>
    </xf>
    <xf numFmtId="0" fontId="0" fillId="2" borderId="40" xfId="0" applyFill="1" applyBorder="1" applyAlignment="1">
      <alignment horizontal="center" vertical="center" textRotation="90"/>
    </xf>
    <xf numFmtId="49" fontId="26" fillId="8" borderId="0" xfId="0" applyNumberFormat="1" applyFont="1" applyFill="1" applyAlignment="1">
      <alignment horizontal="center"/>
    </xf>
    <xf numFmtId="49" fontId="4" fillId="2" borderId="0" xfId="0" applyNumberFormat="1" applyFont="1" applyFill="1" applyAlignment="1">
      <alignment horizontal="center"/>
    </xf>
    <xf numFmtId="10" fontId="5" fillId="2" borderId="7" xfId="2" applyNumberFormat="1" applyFont="1" applyFill="1" applyBorder="1" applyAlignment="1">
      <alignment horizontal="center"/>
    </xf>
    <xf numFmtId="44" fontId="0" fillId="2" borderId="7" xfId="1" applyFont="1" applyFill="1" applyBorder="1"/>
    <xf numFmtId="0" fontId="0" fillId="2" borderId="41" xfId="0" applyFill="1" applyBorder="1" applyAlignment="1">
      <alignment horizontal="center" vertical="center" textRotation="90"/>
    </xf>
    <xf numFmtId="165" fontId="5" fillId="7" borderId="16" xfId="0" applyNumberFormat="1" applyFont="1" applyFill="1" applyBorder="1" applyAlignment="1">
      <alignment horizontal="center"/>
    </xf>
    <xf numFmtId="49" fontId="4" fillId="2" borderId="16" xfId="0" applyNumberFormat="1" applyFont="1" applyFill="1" applyBorder="1" applyAlignment="1">
      <alignment horizontal="center"/>
    </xf>
    <xf numFmtId="0" fontId="0" fillId="2" borderId="0" xfId="0" applyFill="1" applyAlignment="1">
      <alignment horizontal="center" vertical="center" textRotation="90"/>
    </xf>
    <xf numFmtId="165" fontId="5" fillId="7" borderId="38" xfId="0" applyNumberFormat="1" applyFont="1" applyFill="1" applyBorder="1" applyAlignment="1">
      <alignment horizontal="center"/>
    </xf>
    <xf numFmtId="49" fontId="4" fillId="2" borderId="0" xfId="0" applyNumberFormat="1" applyFont="1" applyFill="1" applyAlignment="1">
      <alignment horizontal="center"/>
    </xf>
    <xf numFmtId="0" fontId="5" fillId="7" borderId="42" xfId="0" applyFont="1" applyFill="1" applyBorder="1" applyAlignment="1">
      <alignment horizontal="center"/>
    </xf>
    <xf numFmtId="0" fontId="6" fillId="7" borderId="0" xfId="0" applyFont="1" applyFill="1"/>
    <xf numFmtId="10" fontId="6" fillId="6" borderId="38" xfId="2" applyNumberFormat="1" applyFont="1" applyFill="1" applyBorder="1" applyAlignment="1" applyProtection="1">
      <alignment horizontal="center" vertical="center"/>
      <protection locked="0"/>
    </xf>
    <xf numFmtId="44" fontId="5" fillId="2" borderId="0" xfId="1" applyFont="1" applyFill="1" applyAlignment="1">
      <alignment horizontal="center"/>
    </xf>
    <xf numFmtId="165" fontId="5" fillId="7" borderId="43" xfId="0" applyNumberFormat="1" applyFont="1" applyFill="1" applyBorder="1" applyAlignment="1">
      <alignment horizontal="center"/>
    </xf>
    <xf numFmtId="10" fontId="0" fillId="2" borderId="2" xfId="0" applyNumberFormat="1" applyFill="1" applyBorder="1" applyAlignment="1">
      <alignment horizontal="center" vertical="center" textRotation="90" wrapText="1"/>
    </xf>
    <xf numFmtId="49" fontId="4" fillId="2" borderId="3" xfId="0" applyNumberFormat="1" applyFont="1" applyFill="1" applyBorder="1" applyAlignment="1">
      <alignment horizontal="center"/>
    </xf>
    <xf numFmtId="10" fontId="0" fillId="2" borderId="5" xfId="0" applyNumberFormat="1" applyFill="1" applyBorder="1" applyAlignment="1">
      <alignment horizontal="center" vertical="center" textRotation="90" wrapText="1"/>
    </xf>
    <xf numFmtId="44" fontId="6" fillId="7" borderId="0" xfId="0" applyNumberFormat="1" applyFont="1" applyFill="1"/>
    <xf numFmtId="10" fontId="6" fillId="6" borderId="0" xfId="2" applyNumberFormat="1" applyFont="1" applyFill="1" applyAlignment="1" applyProtection="1">
      <alignment horizontal="center" vertical="center"/>
      <protection locked="0"/>
    </xf>
    <xf numFmtId="49" fontId="4" fillId="2" borderId="0" xfId="0" applyNumberFormat="1" applyFont="1" applyFill="1"/>
    <xf numFmtId="10" fontId="25" fillId="2" borderId="0" xfId="2" applyNumberFormat="1" applyFont="1" applyFill="1" applyAlignment="1">
      <alignment horizontal="center"/>
    </xf>
    <xf numFmtId="10" fontId="0" fillId="2" borderId="23" xfId="0" applyNumberFormat="1" applyFill="1" applyBorder="1" applyAlignment="1">
      <alignment horizontal="center" vertical="center" textRotation="90" wrapText="1"/>
    </xf>
    <xf numFmtId="10" fontId="5" fillId="2" borderId="0" xfId="0" applyNumberFormat="1" applyFont="1" applyFill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10" fontId="5" fillId="2" borderId="3" xfId="0" applyNumberFormat="1" applyFont="1" applyFill="1" applyBorder="1" applyAlignment="1">
      <alignment horizontal="center"/>
    </xf>
    <xf numFmtId="0" fontId="27" fillId="8" borderId="29" xfId="0" applyFont="1" applyFill="1" applyBorder="1"/>
    <xf numFmtId="0" fontId="27" fillId="8" borderId="30" xfId="0" applyFont="1" applyFill="1" applyBorder="1"/>
    <xf numFmtId="0" fontId="12" fillId="8" borderId="44" xfId="0" applyFont="1" applyFill="1" applyBorder="1"/>
    <xf numFmtId="0" fontId="27" fillId="8" borderId="0" xfId="0" applyFont="1" applyFill="1"/>
    <xf numFmtId="44" fontId="12" fillId="8" borderId="18" xfId="0" applyNumberFormat="1" applyFont="1" applyFill="1" applyBorder="1"/>
    <xf numFmtId="0" fontId="28" fillId="8" borderId="7" xfId="0" applyFont="1" applyFill="1" applyBorder="1"/>
    <xf numFmtId="44" fontId="12" fillId="8" borderId="7" xfId="0" applyNumberFormat="1" applyFont="1" applyFill="1" applyBorder="1" applyAlignment="1">
      <alignment horizontal="center"/>
    </xf>
    <xf numFmtId="44" fontId="12" fillId="8" borderId="7" xfId="0" applyNumberFormat="1" applyFont="1" applyFill="1" applyBorder="1" applyAlignment="1">
      <alignment horizontal="center"/>
    </xf>
    <xf numFmtId="0" fontId="12" fillId="2" borderId="14" xfId="0" applyFont="1" applyFill="1" applyBorder="1" applyAlignment="1">
      <alignment horizontal="center" vertical="center"/>
    </xf>
    <xf numFmtId="0" fontId="29" fillId="8" borderId="21" xfId="0" applyFont="1" applyFill="1" applyBorder="1" applyAlignment="1">
      <alignment horizontal="left"/>
    </xf>
    <xf numFmtId="10" fontId="5" fillId="2" borderId="28" xfId="2" applyNumberFormat="1" applyFont="1" applyFill="1" applyBorder="1" applyAlignment="1">
      <alignment horizontal="left"/>
    </xf>
    <xf numFmtId="44" fontId="5" fillId="2" borderId="28" xfId="1" applyFont="1" applyFill="1" applyBorder="1" applyAlignment="1">
      <alignment horizontal="center"/>
    </xf>
    <xf numFmtId="44" fontId="5" fillId="2" borderId="28" xfId="1" applyFont="1" applyFill="1" applyBorder="1" applyAlignment="1">
      <alignment horizontal="center"/>
    </xf>
    <xf numFmtId="165" fontId="14" fillId="2" borderId="22" xfId="2" applyNumberFormat="1" applyFont="1" applyFill="1" applyBorder="1" applyAlignment="1">
      <alignment horizontal="center"/>
    </xf>
    <xf numFmtId="165" fontId="25" fillId="9" borderId="7" xfId="2" applyNumberFormat="1" applyFont="1" applyFill="1" applyBorder="1" applyAlignment="1" applyProtection="1">
      <alignment horizontal="center"/>
      <protection locked="0"/>
    </xf>
    <xf numFmtId="0" fontId="5" fillId="2" borderId="7" xfId="0" applyFont="1" applyFill="1" applyBorder="1" applyAlignment="1">
      <alignment horizontal="left"/>
    </xf>
    <xf numFmtId="10" fontId="0" fillId="2" borderId="3" xfId="2" applyNumberFormat="1" applyFont="1" applyFill="1" applyBorder="1" applyAlignment="1">
      <alignment horizontal="center" vertical="center" textRotation="90" wrapText="1"/>
    </xf>
    <xf numFmtId="0" fontId="5" fillId="7" borderId="3" xfId="0" applyFont="1" applyFill="1" applyBorder="1" applyAlignment="1">
      <alignment horizontal="left"/>
    </xf>
    <xf numFmtId="165" fontId="5" fillId="7" borderId="4" xfId="0" applyNumberFormat="1" applyFont="1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44" xfId="0" applyFill="1" applyBorder="1" applyAlignment="1">
      <alignment horizontal="center"/>
    </xf>
    <xf numFmtId="10" fontId="0" fillId="2" borderId="0" xfId="2" applyNumberFormat="1" applyFont="1" applyFill="1" applyAlignment="1">
      <alignment horizontal="center" vertical="center" textRotation="90" wrapText="1"/>
    </xf>
    <xf numFmtId="0" fontId="5" fillId="7" borderId="6" xfId="0" applyFont="1" applyFill="1" applyBorder="1" applyAlignment="1">
      <alignment horizontal="center"/>
    </xf>
    <xf numFmtId="0" fontId="27" fillId="8" borderId="13" xfId="0" applyFont="1" applyFill="1" applyBorder="1"/>
    <xf numFmtId="0" fontId="12" fillId="8" borderId="38" xfId="0" applyFont="1" applyFill="1" applyBorder="1"/>
    <xf numFmtId="0" fontId="5" fillId="7" borderId="0" xfId="0" applyFont="1" applyFill="1" applyAlignment="1">
      <alignment horizontal="left"/>
    </xf>
    <xf numFmtId="165" fontId="5" fillId="7" borderId="6" xfId="0" applyNumberFormat="1" applyFont="1" applyFill="1" applyBorder="1" applyAlignment="1">
      <alignment horizontal="center"/>
    </xf>
    <xf numFmtId="44" fontId="12" fillId="8" borderId="15" xfId="0" applyNumberFormat="1" applyFont="1" applyFill="1" applyBorder="1"/>
    <xf numFmtId="0" fontId="12" fillId="8" borderId="7" xfId="0" applyFont="1" applyFill="1" applyBorder="1"/>
    <xf numFmtId="0" fontId="0" fillId="7" borderId="0" xfId="0" applyFill="1"/>
    <xf numFmtId="0" fontId="29" fillId="8" borderId="18" xfId="0" applyFont="1" applyFill="1" applyBorder="1" applyAlignment="1">
      <alignment horizontal="left"/>
    </xf>
    <xf numFmtId="10" fontId="5" fillId="2" borderId="1" xfId="2" applyNumberFormat="1" applyFont="1" applyFill="1" applyBorder="1" applyAlignment="1">
      <alignment horizontal="left"/>
    </xf>
    <xf numFmtId="44" fontId="5" fillId="2" borderId="1" xfId="1" applyFont="1" applyFill="1" applyBorder="1" applyAlignment="1">
      <alignment horizontal="center"/>
    </xf>
    <xf numFmtId="44" fontId="5" fillId="2" borderId="1" xfId="1" applyFont="1" applyFill="1" applyBorder="1" applyAlignment="1">
      <alignment horizontal="center"/>
    </xf>
    <xf numFmtId="165" fontId="14" fillId="2" borderId="45" xfId="2" applyNumberFormat="1" applyFont="1" applyFill="1" applyBorder="1" applyAlignment="1">
      <alignment horizontal="center"/>
    </xf>
    <xf numFmtId="49" fontId="4" fillId="2" borderId="46" xfId="0" applyNumberFormat="1" applyFont="1" applyFill="1" applyBorder="1" applyAlignment="1">
      <alignment horizontal="center"/>
    </xf>
    <xf numFmtId="165" fontId="25" fillId="9" borderId="1" xfId="2" applyNumberFormat="1" applyFont="1" applyFill="1" applyBorder="1" applyAlignment="1" applyProtection="1">
      <alignment horizontal="center"/>
      <protection locked="0"/>
    </xf>
    <xf numFmtId="0" fontId="5" fillId="2" borderId="1" xfId="0" applyFont="1" applyFill="1" applyBorder="1" applyAlignment="1">
      <alignment horizontal="left"/>
    </xf>
    <xf numFmtId="0" fontId="0" fillId="2" borderId="1" xfId="0" applyFill="1" applyBorder="1"/>
    <xf numFmtId="44" fontId="5" fillId="2" borderId="1" xfId="1" applyFont="1" applyFill="1" applyBorder="1"/>
    <xf numFmtId="44" fontId="0" fillId="2" borderId="1" xfId="1" applyFont="1" applyFill="1" applyBorder="1"/>
    <xf numFmtId="0" fontId="5" fillId="7" borderId="16" xfId="0" applyFont="1" applyFill="1" applyBorder="1" applyAlignment="1">
      <alignment horizontal="left"/>
    </xf>
    <xf numFmtId="164" fontId="5" fillId="7" borderId="24" xfId="0" applyNumberFormat="1" applyFont="1" applyFill="1" applyBorder="1" applyAlignment="1">
      <alignment horizontal="center"/>
    </xf>
    <xf numFmtId="44" fontId="28" fillId="8" borderId="0" xfId="0" applyNumberFormat="1" applyFont="1" applyFill="1"/>
    <xf numFmtId="0" fontId="28" fillId="8" borderId="0" xfId="0" applyFont="1" applyFill="1" applyAlignment="1">
      <alignment horizontal="right"/>
    </xf>
    <xf numFmtId="44" fontId="28" fillId="8" borderId="0" xfId="1" applyFont="1" applyFill="1" applyAlignment="1">
      <alignment horizontal="center"/>
    </xf>
    <xf numFmtId="0" fontId="0" fillId="2" borderId="47" xfId="0" applyFill="1" applyBorder="1" applyAlignment="1">
      <alignment horizontal="left" vertical="center"/>
    </xf>
    <xf numFmtId="0" fontId="0" fillId="2" borderId="36" xfId="0" applyFill="1" applyBorder="1"/>
    <xf numFmtId="44" fontId="0" fillId="2" borderId="36" xfId="0" applyNumberFormat="1" applyFill="1" applyBorder="1"/>
    <xf numFmtId="165" fontId="14" fillId="2" borderId="48" xfId="2" applyNumberFormat="1" applyFont="1" applyFill="1" applyBorder="1" applyAlignment="1">
      <alignment horizontal="center"/>
    </xf>
    <xf numFmtId="44" fontId="14" fillId="2" borderId="46" xfId="0" applyNumberFormat="1" applyFont="1" applyFill="1" applyBorder="1"/>
    <xf numFmtId="0" fontId="14" fillId="2" borderId="0" xfId="0" applyFont="1" applyFill="1"/>
    <xf numFmtId="44" fontId="4" fillId="2" borderId="0" xfId="0" applyNumberFormat="1" applyFont="1" applyFill="1"/>
    <xf numFmtId="0" fontId="0" fillId="2" borderId="49" xfId="0" applyFill="1" applyBorder="1"/>
    <xf numFmtId="0" fontId="5" fillId="2" borderId="49" xfId="0" applyFont="1" applyFill="1" applyBorder="1" applyAlignment="1">
      <alignment horizontal="right"/>
    </xf>
    <xf numFmtId="44" fontId="5" fillId="6" borderId="18" xfId="0" applyNumberFormat="1" applyFont="1" applyFill="1" applyBorder="1"/>
    <xf numFmtId="0" fontId="5" fillId="2" borderId="1" xfId="0" applyFont="1" applyFill="1" applyBorder="1"/>
    <xf numFmtId="9" fontId="5" fillId="2" borderId="1" xfId="2" applyFont="1" applyFill="1" applyBorder="1" applyAlignment="1">
      <alignment horizontal="center"/>
    </xf>
    <xf numFmtId="0" fontId="12" fillId="2" borderId="45" xfId="0" applyFont="1" applyFill="1" applyBorder="1" applyAlignment="1">
      <alignment horizontal="center"/>
    </xf>
    <xf numFmtId="44" fontId="12" fillId="8" borderId="0" xfId="0" applyNumberFormat="1" applyFont="1" applyFill="1"/>
    <xf numFmtId="44" fontId="14" fillId="2" borderId="0" xfId="0" applyNumberFormat="1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44" fontId="5" fillId="2" borderId="18" xfId="0" applyNumberFormat="1" applyFont="1" applyFill="1" applyBorder="1"/>
    <xf numFmtId="49" fontId="5" fillId="2" borderId="1" xfId="0" applyNumberFormat="1" applyFont="1" applyFill="1" applyBorder="1" applyAlignment="1">
      <alignment horizontal="center"/>
    </xf>
    <xf numFmtId="44" fontId="5" fillId="2" borderId="20" xfId="0" applyNumberFormat="1" applyFont="1" applyFill="1" applyBorder="1" applyAlignment="1">
      <alignment horizontal="center"/>
    </xf>
    <xf numFmtId="44" fontId="5" fillId="2" borderId="20" xfId="0" applyNumberFormat="1" applyFont="1" applyFill="1" applyBorder="1" applyAlignment="1">
      <alignment horizontal="center"/>
    </xf>
    <xf numFmtId="165" fontId="14" fillId="2" borderId="31" xfId="2" applyNumberFormat="1" applyFont="1" applyFill="1" applyBorder="1" applyAlignment="1">
      <alignment horizontal="center"/>
    </xf>
    <xf numFmtId="0" fontId="5" fillId="2" borderId="23" xfId="0" applyFont="1" applyFill="1" applyBorder="1"/>
    <xf numFmtId="0" fontId="5" fillId="2" borderId="16" xfId="0" applyFont="1" applyFill="1" applyBorder="1"/>
    <xf numFmtId="0" fontId="5" fillId="2" borderId="16" xfId="0" applyFont="1" applyFill="1" applyBorder="1" applyAlignment="1">
      <alignment horizontal="center"/>
    </xf>
    <xf numFmtId="0" fontId="30" fillId="10" borderId="29" xfId="0" applyFont="1" applyFill="1" applyBorder="1" applyAlignment="1">
      <alignment horizontal="center" vertical="center" wrapText="1"/>
    </xf>
    <xf numFmtId="0" fontId="30" fillId="10" borderId="4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25" fillId="2" borderId="47" xfId="0" applyFont="1" applyFill="1" applyBorder="1"/>
    <xf numFmtId="0" fontId="5" fillId="2" borderId="36" xfId="0" applyFont="1" applyFill="1" applyBorder="1"/>
    <xf numFmtId="0" fontId="5" fillId="2" borderId="20" xfId="0" applyFont="1" applyFill="1" applyBorder="1"/>
    <xf numFmtId="44" fontId="25" fillId="2" borderId="31" xfId="0" applyNumberFormat="1" applyFont="1" applyFill="1" applyBorder="1"/>
    <xf numFmtId="44" fontId="0" fillId="2" borderId="0" xfId="1" applyFont="1" applyFill="1" applyAlignment="1">
      <alignment horizontal="center"/>
    </xf>
    <xf numFmtId="0" fontId="30" fillId="10" borderId="15" xfId="0" applyFont="1" applyFill="1" applyBorder="1" applyAlignment="1">
      <alignment horizontal="center" vertical="center" wrapText="1"/>
    </xf>
    <xf numFmtId="0" fontId="30" fillId="10" borderId="14" xfId="0" applyFont="1" applyFill="1" applyBorder="1" applyAlignment="1">
      <alignment horizontal="center" vertical="center" wrapText="1"/>
    </xf>
    <xf numFmtId="0" fontId="5" fillId="2" borderId="18" xfId="0" applyFont="1" applyFill="1" applyBorder="1"/>
    <xf numFmtId="0" fontId="0" fillId="2" borderId="20" xfId="0" applyFill="1" applyBorder="1"/>
    <xf numFmtId="10" fontId="31" fillId="2" borderId="1" xfId="2" applyNumberFormat="1" applyFont="1" applyFill="1" applyBorder="1" applyAlignment="1">
      <alignment horizontal="right"/>
    </xf>
    <xf numFmtId="10" fontId="5" fillId="6" borderId="1" xfId="2" applyNumberFormat="1" applyFont="1" applyFill="1" applyBorder="1" applyAlignment="1">
      <alignment horizontal="center"/>
    </xf>
    <xf numFmtId="44" fontId="5" fillId="2" borderId="45" xfId="1" applyFont="1" applyFill="1" applyBorder="1"/>
    <xf numFmtId="0" fontId="32" fillId="10" borderId="29" xfId="0" applyFont="1" applyFill="1" applyBorder="1" applyAlignment="1">
      <alignment horizontal="center" vertical="center"/>
    </xf>
    <xf numFmtId="0" fontId="32" fillId="10" borderId="44" xfId="0" applyFont="1" applyFill="1" applyBorder="1" applyAlignment="1">
      <alignment horizontal="center" vertical="center"/>
    </xf>
    <xf numFmtId="9" fontId="33" fillId="2" borderId="0" xfId="2" applyFont="1" applyFill="1" applyAlignment="1">
      <alignment horizontal="center" vertical="center"/>
    </xf>
    <xf numFmtId="0" fontId="5" fillId="2" borderId="46" xfId="0" applyFont="1" applyFill="1" applyBorder="1"/>
    <xf numFmtId="9" fontId="31" fillId="2" borderId="0" xfId="2" applyFont="1" applyFill="1" applyAlignment="1">
      <alignment horizontal="center"/>
    </xf>
    <xf numFmtId="0" fontId="32" fillId="10" borderId="15" xfId="0" applyFont="1" applyFill="1" applyBorder="1" applyAlignment="1">
      <alignment horizontal="center" vertical="center"/>
    </xf>
    <xf numFmtId="0" fontId="32" fillId="10" borderId="14" xfId="0" applyFont="1" applyFill="1" applyBorder="1" applyAlignment="1">
      <alignment horizontal="center" vertical="center"/>
    </xf>
    <xf numFmtId="10" fontId="5" fillId="2" borderId="1" xfId="0" applyNumberFormat="1" applyFont="1" applyFill="1" applyBorder="1" applyAlignment="1">
      <alignment horizontal="center"/>
    </xf>
    <xf numFmtId="0" fontId="5" fillId="2" borderId="45" xfId="0" applyFont="1" applyFill="1" applyBorder="1"/>
    <xf numFmtId="165" fontId="25" fillId="2" borderId="7" xfId="2" applyNumberFormat="1" applyFont="1" applyFill="1" applyBorder="1" applyAlignment="1" applyProtection="1">
      <alignment horizontal="center"/>
      <protection locked="0"/>
    </xf>
    <xf numFmtId="166" fontId="0" fillId="2" borderId="7" xfId="0" applyNumberFormat="1" applyFill="1" applyBorder="1"/>
    <xf numFmtId="0" fontId="6" fillId="2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34" fillId="2" borderId="47" xfId="0" applyFont="1" applyFill="1" applyBorder="1"/>
    <xf numFmtId="0" fontId="31" fillId="2" borderId="36" xfId="0" applyFont="1" applyFill="1" applyBorder="1"/>
    <xf numFmtId="0" fontId="31" fillId="2" borderId="36" xfId="0" applyFont="1" applyFill="1" applyBorder="1" applyAlignment="1">
      <alignment horizontal="left"/>
    </xf>
    <xf numFmtId="44" fontId="34" fillId="2" borderId="31" xfId="0" applyNumberFormat="1" applyFont="1" applyFill="1" applyBorder="1"/>
    <xf numFmtId="0" fontId="5" fillId="2" borderId="50" xfId="0" applyFont="1" applyFill="1" applyBorder="1"/>
    <xf numFmtId="9" fontId="31" fillId="2" borderId="7" xfId="2" applyFont="1" applyFill="1" applyBorder="1" applyAlignment="1">
      <alignment horizontal="center"/>
    </xf>
    <xf numFmtId="166" fontId="5" fillId="2" borderId="51" xfId="0" applyNumberFormat="1" applyFont="1" applyFill="1" applyBorder="1"/>
    <xf numFmtId="0" fontId="5" fillId="2" borderId="29" xfId="0" applyFont="1" applyFill="1" applyBorder="1"/>
    <xf numFmtId="0" fontId="5" fillId="2" borderId="30" xfId="0" applyFont="1" applyFill="1" applyBorder="1"/>
    <xf numFmtId="44" fontId="5" fillId="2" borderId="44" xfId="0" applyNumberFormat="1" applyFont="1" applyFill="1" applyBorder="1"/>
    <xf numFmtId="0" fontId="5" fillId="2" borderId="15" xfId="0" applyFont="1" applyFill="1" applyBorder="1"/>
    <xf numFmtId="0" fontId="31" fillId="2" borderId="7" xfId="0" applyFont="1" applyFill="1" applyBorder="1"/>
    <xf numFmtId="10" fontId="31" fillId="2" borderId="7" xfId="2" applyNumberFormat="1" applyFont="1" applyFill="1" applyBorder="1" applyAlignment="1">
      <alignment horizontal="right"/>
    </xf>
    <xf numFmtId="10" fontId="31" fillId="6" borderId="7" xfId="2" applyNumberFormat="1" applyFont="1" applyFill="1" applyBorder="1" applyAlignment="1">
      <alignment horizontal="center"/>
    </xf>
    <xf numFmtId="44" fontId="31" fillId="2" borderId="14" xfId="1" applyFont="1" applyFill="1" applyBorder="1"/>
    <xf numFmtId="0" fontId="0" fillId="2" borderId="30" xfId="0" applyFill="1" applyBorder="1"/>
    <xf numFmtId="0" fontId="5" fillId="2" borderId="13" xfId="0" applyFont="1" applyFill="1" applyBorder="1"/>
    <xf numFmtId="0" fontId="12" fillId="2" borderId="17" xfId="0" applyFont="1" applyFill="1" applyBorder="1" applyAlignment="1">
      <alignment horizontal="center"/>
    </xf>
    <xf numFmtId="10" fontId="5" fillId="2" borderId="7" xfId="0" applyNumberFormat="1" applyFont="1" applyFill="1" applyBorder="1" applyAlignment="1">
      <alignment horizontal="center"/>
    </xf>
    <xf numFmtId="165" fontId="14" fillId="2" borderId="14" xfId="2" applyNumberFormat="1" applyFont="1" applyFill="1" applyBorder="1" applyAlignment="1">
      <alignment horizontal="center"/>
    </xf>
    <xf numFmtId="0" fontId="31" fillId="2" borderId="1" xfId="0" applyFont="1" applyFill="1" applyBorder="1"/>
    <xf numFmtId="10" fontId="31" fillId="2" borderId="1" xfId="2" applyNumberFormat="1" applyFont="1" applyFill="1" applyBorder="1" applyAlignment="1">
      <alignment horizontal="left"/>
    </xf>
    <xf numFmtId="10" fontId="31" fillId="6" borderId="1" xfId="2" applyNumberFormat="1" applyFont="1" applyFill="1" applyBorder="1" applyAlignment="1">
      <alignment horizontal="center"/>
    </xf>
    <xf numFmtId="44" fontId="31" fillId="2" borderId="17" xfId="1" applyFont="1" applyFill="1" applyBorder="1"/>
    <xf numFmtId="167" fontId="25" fillId="2" borderId="7" xfId="2" applyNumberFormat="1" applyFont="1" applyFill="1" applyBorder="1" applyAlignment="1" applyProtection="1">
      <alignment horizontal="center"/>
      <protection locked="0"/>
    </xf>
    <xf numFmtId="0" fontId="0" fillId="11" borderId="0" xfId="0" applyFill="1"/>
    <xf numFmtId="0" fontId="5" fillId="11" borderId="0" xfId="0" applyFont="1" applyFill="1"/>
    <xf numFmtId="0" fontId="5" fillId="11" borderId="0" xfId="0" applyFont="1" applyFill="1" applyAlignment="1">
      <alignment horizontal="center"/>
    </xf>
    <xf numFmtId="164" fontId="5" fillId="11" borderId="0" xfId="2" applyNumberFormat="1" applyFont="1" applyFill="1" applyAlignment="1">
      <alignment horizontal="center" vertical="center"/>
    </xf>
    <xf numFmtId="44" fontId="7" fillId="11" borderId="0" xfId="1" applyFont="1" applyFill="1" applyAlignment="1">
      <alignment horizontal="right" vertical="center"/>
    </xf>
    <xf numFmtId="44" fontId="8" fillId="11" borderId="0" xfId="0" applyNumberFormat="1" applyFont="1" applyFill="1" applyAlignment="1">
      <alignment horizontal="center" vertical="center"/>
    </xf>
    <xf numFmtId="44" fontId="0" fillId="11" borderId="0" xfId="1" applyFont="1" applyFill="1"/>
    <xf numFmtId="0" fontId="5" fillId="2" borderId="3" xfId="0" applyFont="1" applyFill="1" applyBorder="1" applyAlignment="1">
      <alignment horizontal="center"/>
    </xf>
    <xf numFmtId="44" fontId="5" fillId="2" borderId="3" xfId="1" applyFont="1" applyFill="1" applyBorder="1" applyAlignment="1">
      <alignment horizontal="center"/>
    </xf>
    <xf numFmtId="0" fontId="5" fillId="2" borderId="5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25" fillId="10" borderId="47" xfId="0" applyFont="1" applyFill="1" applyBorder="1"/>
    <xf numFmtId="0" fontId="5" fillId="10" borderId="36" xfId="0" applyFont="1" applyFill="1" applyBorder="1"/>
    <xf numFmtId="9" fontId="5" fillId="10" borderId="36" xfId="2" applyFont="1" applyFill="1" applyBorder="1" applyAlignment="1">
      <alignment horizontal="center"/>
    </xf>
    <xf numFmtId="0" fontId="25" fillId="10" borderId="36" xfId="0" applyFont="1" applyFill="1" applyBorder="1"/>
    <xf numFmtId="44" fontId="25" fillId="10" borderId="48" xfId="0" applyNumberFormat="1" applyFont="1" applyFill="1" applyBorder="1"/>
    <xf numFmtId="0" fontId="5" fillId="10" borderId="46" xfId="0" applyFont="1" applyFill="1" applyBorder="1"/>
    <xf numFmtId="0" fontId="5" fillId="10" borderId="0" xfId="0" applyFont="1" applyFill="1"/>
    <xf numFmtId="0" fontId="0" fillId="10" borderId="1" xfId="0" applyFill="1" applyBorder="1"/>
    <xf numFmtId="9" fontId="5" fillId="10" borderId="45" xfId="2" applyFont="1" applyFill="1" applyBorder="1" applyAlignment="1">
      <alignment horizontal="center"/>
    </xf>
    <xf numFmtId="44" fontId="5" fillId="10" borderId="49" xfId="1" applyFont="1" applyFill="1" applyBorder="1"/>
    <xf numFmtId="0" fontId="12" fillId="10" borderId="18" xfId="0" applyFont="1" applyFill="1" applyBorder="1"/>
    <xf numFmtId="0" fontId="14" fillId="10" borderId="1" xfId="0" applyFont="1" applyFill="1" applyBorder="1"/>
    <xf numFmtId="44" fontId="12" fillId="10" borderId="45" xfId="1" applyFont="1" applyFill="1" applyBorder="1" applyAlignment="1">
      <alignment horizontal="center"/>
    </xf>
    <xf numFmtId="49" fontId="26" fillId="8" borderId="0" xfId="0" applyNumberFormat="1" applyFont="1" applyFill="1" applyAlignment="1">
      <alignment horizontal="center"/>
    </xf>
    <xf numFmtId="164" fontId="1" fillId="2" borderId="7" xfId="2" applyNumberFormat="1" applyFill="1" applyBorder="1" applyAlignment="1">
      <alignment horizontal="left"/>
    </xf>
    <xf numFmtId="44" fontId="5" fillId="2" borderId="7" xfId="1" applyFont="1" applyFill="1" applyBorder="1" applyAlignment="1">
      <alignment horizontal="center"/>
    </xf>
    <xf numFmtId="0" fontId="0" fillId="2" borderId="5" xfId="0" applyFill="1" applyBorder="1"/>
    <xf numFmtId="0" fontId="2" fillId="2" borderId="0" xfId="0" applyFont="1" applyFill="1"/>
    <xf numFmtId="9" fontId="2" fillId="2" borderId="0" xfId="2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9" borderId="0" xfId="0" applyFont="1" applyFill="1" applyAlignment="1">
      <alignment horizontal="center" vertical="center"/>
    </xf>
    <xf numFmtId="0" fontId="34" fillId="2" borderId="47" xfId="0" applyFont="1" applyFill="1" applyBorder="1" applyAlignment="1">
      <alignment horizontal="center"/>
    </xf>
    <xf numFmtId="0" fontId="34" fillId="2" borderId="36" xfId="0" applyFont="1" applyFill="1" applyBorder="1" applyAlignment="1">
      <alignment horizontal="center"/>
    </xf>
    <xf numFmtId="0" fontId="34" fillId="2" borderId="48" xfId="0" applyFont="1" applyFill="1" applyBorder="1" applyAlignment="1">
      <alignment horizontal="center"/>
    </xf>
    <xf numFmtId="0" fontId="34" fillId="2" borderId="0" xfId="0" applyFont="1" applyFill="1" applyAlignment="1">
      <alignment horizontal="center"/>
    </xf>
    <xf numFmtId="0" fontId="34" fillId="2" borderId="46" xfId="0" applyFont="1" applyFill="1" applyBorder="1"/>
    <xf numFmtId="0" fontId="31" fillId="2" borderId="0" xfId="0" applyFont="1" applyFill="1"/>
    <xf numFmtId="0" fontId="31" fillId="2" borderId="0" xfId="0" applyFont="1" applyFill="1" applyAlignment="1">
      <alignment horizontal="left"/>
    </xf>
    <xf numFmtId="44" fontId="5" fillId="2" borderId="48" xfId="0" applyNumberFormat="1" applyFont="1" applyFill="1" applyBorder="1"/>
    <xf numFmtId="0" fontId="3" fillId="2" borderId="0" xfId="0" applyFont="1" applyFill="1"/>
    <xf numFmtId="9" fontId="3" fillId="2" borderId="0" xfId="2" applyFont="1" applyFill="1" applyAlignment="1">
      <alignment horizontal="center" vertical="center"/>
    </xf>
    <xf numFmtId="9" fontId="35" fillId="9" borderId="0" xfId="2" applyFont="1" applyFill="1" applyAlignment="1">
      <alignment horizontal="center" vertical="center"/>
    </xf>
    <xf numFmtId="10" fontId="31" fillId="2" borderId="0" xfId="0" applyNumberFormat="1" applyFont="1" applyFill="1" applyAlignment="1">
      <alignment horizontal="center"/>
    </xf>
    <xf numFmtId="168" fontId="5" fillId="2" borderId="48" xfId="2" applyNumberFormat="1" applyFont="1" applyFill="1" applyBorder="1" applyAlignment="1">
      <alignment horizontal="center"/>
    </xf>
    <xf numFmtId="0" fontId="31" fillId="2" borderId="18" xfId="0" applyFont="1" applyFill="1" applyBorder="1"/>
    <xf numFmtId="10" fontId="31" fillId="2" borderId="1" xfId="2" applyNumberFormat="1" applyFont="1" applyFill="1" applyBorder="1" applyAlignment="1">
      <alignment horizontal="center"/>
    </xf>
    <xf numFmtId="49" fontId="4" fillId="2" borderId="13" xfId="0" applyNumberFormat="1" applyFont="1" applyFill="1" applyBorder="1" applyAlignment="1">
      <alignment horizontal="center"/>
    </xf>
    <xf numFmtId="164" fontId="5" fillId="2" borderId="7" xfId="2" applyNumberFormat="1" applyFont="1" applyFill="1" applyBorder="1" applyAlignment="1">
      <alignment horizontal="left"/>
    </xf>
    <xf numFmtId="44" fontId="5" fillId="2" borderId="7" xfId="1" applyFont="1" applyFill="1" applyBorder="1" applyAlignment="1">
      <alignment horizontal="center"/>
    </xf>
    <xf numFmtId="169" fontId="0" fillId="2" borderId="7" xfId="0" applyNumberFormat="1" applyFill="1" applyBorder="1"/>
    <xf numFmtId="0" fontId="5" fillId="2" borderId="0" xfId="0" applyFont="1" applyFill="1" applyAlignment="1">
      <alignment horizontal="center"/>
    </xf>
    <xf numFmtId="9" fontId="36" fillId="2" borderId="0" xfId="2" applyFont="1" applyFill="1" applyAlignment="1">
      <alignment vertical="center"/>
    </xf>
    <xf numFmtId="0" fontId="34" fillId="2" borderId="0" xfId="0" applyFont="1" applyFill="1"/>
    <xf numFmtId="44" fontId="25" fillId="2" borderId="0" xfId="1" applyFont="1" applyFill="1" applyAlignment="1">
      <alignment horizontal="center"/>
    </xf>
    <xf numFmtId="44" fontId="5" fillId="2" borderId="0" xfId="0" applyNumberFormat="1" applyFont="1" applyFill="1"/>
    <xf numFmtId="10" fontId="5" fillId="2" borderId="49" xfId="2" applyNumberFormat="1" applyFont="1" applyFill="1" applyBorder="1" applyAlignment="1">
      <alignment horizontal="center"/>
    </xf>
    <xf numFmtId="49" fontId="4" fillId="2" borderId="13" xfId="0" applyNumberFormat="1" applyFont="1" applyFill="1" applyBorder="1" applyAlignment="1">
      <alignment horizontal="center"/>
    </xf>
    <xf numFmtId="10" fontId="31" fillId="2" borderId="0" xfId="2" applyNumberFormat="1" applyFont="1" applyFill="1" applyAlignment="1">
      <alignment horizontal="center"/>
    </xf>
    <xf numFmtId="10" fontId="31" fillId="2" borderId="0" xfId="2" applyNumberFormat="1" applyFont="1" applyFill="1" applyAlignment="1">
      <alignment horizontal="right"/>
    </xf>
    <xf numFmtId="44" fontId="34" fillId="2" borderId="0" xfId="0" applyNumberFormat="1" applyFont="1" applyFill="1"/>
    <xf numFmtId="0" fontId="0" fillId="2" borderId="23" xfId="0" applyFill="1" applyBorder="1"/>
    <xf numFmtId="49" fontId="5" fillId="2" borderId="0" xfId="0" applyNumberFormat="1" applyFont="1" applyFill="1" applyAlignment="1">
      <alignment horizontal="center"/>
    </xf>
    <xf numFmtId="0" fontId="19" fillId="12" borderId="0" xfId="0" applyFont="1" applyFill="1" applyAlignment="1">
      <alignment vertical="center"/>
    </xf>
    <xf numFmtId="0" fontId="19" fillId="12" borderId="0" xfId="0" applyFont="1" applyFill="1" applyAlignment="1">
      <alignment horizontal="center" vertical="center"/>
    </xf>
    <xf numFmtId="44" fontId="19" fillId="12" borderId="0" xfId="0" applyNumberFormat="1" applyFont="1" applyFill="1" applyAlignment="1">
      <alignment vertical="center"/>
    </xf>
    <xf numFmtId="49" fontId="19" fillId="12" borderId="0" xfId="0" applyNumberFormat="1" applyFont="1" applyFill="1" applyAlignment="1">
      <alignment horizontal="center" vertical="center"/>
    </xf>
    <xf numFmtId="165" fontId="19" fillId="12" borderId="0" xfId="2" applyNumberFormat="1" applyFont="1" applyFill="1" applyAlignment="1">
      <alignment horizontal="center" vertical="center"/>
    </xf>
    <xf numFmtId="164" fontId="19" fillId="12" borderId="0" xfId="2" applyNumberFormat="1" applyFont="1" applyFill="1" applyAlignment="1">
      <alignment horizontal="center" vertical="center"/>
    </xf>
    <xf numFmtId="44" fontId="7" fillId="12" borderId="0" xfId="1" applyFont="1" applyFill="1" applyAlignment="1">
      <alignment vertical="center"/>
    </xf>
    <xf numFmtId="44" fontId="7" fillId="12" borderId="0" xfId="1" applyFont="1" applyFill="1" applyAlignment="1">
      <alignment horizontal="right" vertical="center"/>
    </xf>
    <xf numFmtId="44" fontId="7" fillId="12" borderId="0" xfId="0" applyNumberFormat="1" applyFont="1" applyFill="1" applyAlignment="1">
      <alignment vertical="center"/>
    </xf>
    <xf numFmtId="44" fontId="19" fillId="12" borderId="0" xfId="1" applyFont="1" applyFill="1" applyAlignment="1">
      <alignment vertical="center"/>
    </xf>
    <xf numFmtId="44" fontId="19" fillId="12" borderId="0" xfId="1" applyFont="1" applyFill="1" applyAlignment="1">
      <alignment horizontal="center" vertical="center"/>
    </xf>
    <xf numFmtId="165" fontId="19" fillId="12" borderId="0" xfId="2" applyNumberFormat="1" applyFont="1" applyFill="1" applyAlignment="1">
      <alignment vertical="center"/>
    </xf>
  </cellXfs>
  <cellStyles count="3">
    <cellStyle name="Moeda" xfId="1" builtinId="4"/>
    <cellStyle name="Normal" xfId="0" builtinId="0"/>
    <cellStyle name="Porcentagem" xfId="2" builtinId="5"/>
  </cellStyles>
  <dxfs count="11">
    <dxf>
      <font>
        <color theme="1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006666"/>
        </patternFill>
      </fill>
    </dxf>
    <dxf>
      <font>
        <color theme="0"/>
      </font>
      <fill>
        <patternFill>
          <bgColor rgb="FF006666"/>
        </patternFill>
      </fill>
    </dxf>
    <dxf>
      <font>
        <color theme="0"/>
      </font>
      <fill>
        <patternFill>
          <bgColor rgb="FF006666"/>
        </patternFill>
      </fill>
    </dxf>
    <dxf>
      <font>
        <color theme="0"/>
      </font>
      <fill>
        <patternFill>
          <bgColor rgb="FF006666"/>
        </patternFill>
      </fill>
    </dxf>
    <dxf>
      <font>
        <color theme="0"/>
      </font>
      <fill>
        <patternFill>
          <bgColor rgb="FF006666"/>
        </patternFill>
      </fill>
    </dxf>
    <dxf>
      <font>
        <color theme="0"/>
      </font>
      <fill>
        <patternFill>
          <bgColor rgb="FF006666"/>
        </patternFill>
      </fill>
    </dxf>
    <dxf>
      <font>
        <color theme="0"/>
      </font>
      <fill>
        <patternFill>
          <bgColor rgb="FF008080"/>
        </patternFill>
      </fill>
    </dxf>
    <dxf>
      <fill>
        <patternFill>
          <bgColor theme="9" tint="-0.24994659260841701"/>
        </patternFill>
      </fill>
    </dxf>
    <dxf>
      <font>
        <color theme="1"/>
      </font>
      <fill>
        <patternFill>
          <bgColor theme="9" tint="-0.24994659260841701"/>
        </patternFill>
      </fill>
    </dxf>
    <dxf>
      <font>
        <color auto="1"/>
      </font>
      <fill>
        <patternFill>
          <bgColor theme="9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4A4E2-3925-4658-8276-0C1A0994D1F3}">
  <dimension ref="A1:AI147"/>
  <sheetViews>
    <sheetView tabSelected="1" topLeftCell="A52" workbookViewId="0">
      <selection activeCell="J141" sqref="J141"/>
    </sheetView>
  </sheetViews>
  <sheetFormatPr defaultRowHeight="14.4" x14ac:dyDescent="0.3"/>
  <cols>
    <col min="1" max="1" width="2.88671875" customWidth="1"/>
    <col min="2" max="2" width="3.6640625" customWidth="1"/>
    <col min="9" max="9" width="12.21875" customWidth="1"/>
    <col min="14" max="14" width="13.33203125" customWidth="1"/>
    <col min="23" max="23" width="20" customWidth="1"/>
  </cols>
  <sheetData>
    <row r="1" spans="1:35" x14ac:dyDescent="0.3">
      <c r="A1" s="1"/>
      <c r="B1" s="1"/>
      <c r="C1" s="2"/>
      <c r="D1" s="2"/>
      <c r="E1" s="2"/>
      <c r="F1" s="2"/>
      <c r="G1" s="3"/>
      <c r="H1" s="1"/>
      <c r="I1" s="1"/>
      <c r="J1" s="1"/>
      <c r="K1" s="1"/>
      <c r="L1" s="1"/>
      <c r="M1" s="1"/>
      <c r="N1" s="1"/>
      <c r="O1" s="1"/>
      <c r="P1" s="1"/>
      <c r="Q1" s="4"/>
      <c r="R1" s="4"/>
      <c r="S1" s="1"/>
      <c r="T1" s="1"/>
      <c r="U1" s="5"/>
      <c r="V1" s="5"/>
      <c r="W1" s="1"/>
      <c r="X1" s="1"/>
      <c r="Y1" s="1"/>
      <c r="Z1" s="5"/>
      <c r="AA1" s="6"/>
      <c r="AB1" s="6"/>
      <c r="AC1" s="7"/>
      <c r="AD1" s="3"/>
      <c r="AE1" s="1"/>
      <c r="AF1" s="1"/>
      <c r="AG1" s="1"/>
      <c r="AH1" s="1"/>
      <c r="AI1" s="1"/>
    </row>
    <row r="2" spans="1:35" x14ac:dyDescent="0.3">
      <c r="A2" s="1"/>
      <c r="B2" s="8"/>
      <c r="C2" s="8"/>
      <c r="D2" s="8"/>
      <c r="E2" s="8"/>
      <c r="F2" s="8"/>
      <c r="G2" s="8"/>
      <c r="H2" s="1"/>
      <c r="I2" s="1"/>
      <c r="J2" s="1"/>
      <c r="K2" s="1"/>
      <c r="L2" s="1"/>
      <c r="M2" s="1"/>
      <c r="N2" s="1"/>
      <c r="O2" s="1"/>
      <c r="P2" s="1"/>
      <c r="Q2" s="4"/>
      <c r="R2" s="4"/>
      <c r="S2" s="1"/>
      <c r="T2" s="1"/>
      <c r="U2" s="5"/>
      <c r="V2" s="5"/>
      <c r="W2" s="9"/>
      <c r="X2" s="9"/>
      <c r="Y2" s="1"/>
      <c r="Z2" s="5"/>
      <c r="AA2" s="6"/>
      <c r="AB2" s="6"/>
      <c r="AC2" s="7"/>
      <c r="AD2" s="3"/>
      <c r="AE2" s="1"/>
      <c r="AF2" s="1"/>
      <c r="AG2" s="1"/>
      <c r="AH2" s="1"/>
      <c r="AI2" s="1"/>
    </row>
    <row r="3" spans="1:35" ht="18" x14ac:dyDescent="0.3">
      <c r="A3" s="1"/>
      <c r="B3" s="1"/>
      <c r="C3" s="10"/>
      <c r="D3" s="2"/>
      <c r="E3" s="2"/>
      <c r="F3" s="11"/>
      <c r="G3" s="11"/>
      <c r="H3" s="1"/>
      <c r="I3" s="1"/>
      <c r="J3" s="1"/>
      <c r="K3" s="1"/>
      <c r="L3" s="1"/>
      <c r="M3" s="1"/>
      <c r="N3" s="1"/>
      <c r="O3" s="1"/>
      <c r="P3" s="1"/>
      <c r="Q3" s="4"/>
      <c r="R3" s="4"/>
      <c r="S3" s="1"/>
      <c r="T3" s="1"/>
      <c r="U3" s="5"/>
      <c r="V3" s="12"/>
      <c r="W3" s="13"/>
      <c r="X3" s="1"/>
      <c r="Y3" s="1"/>
      <c r="Z3" s="5"/>
      <c r="AA3" s="6"/>
      <c r="AB3" s="6"/>
      <c r="AC3" s="7"/>
      <c r="AD3" s="3"/>
      <c r="AE3" s="1"/>
      <c r="AF3" s="1"/>
      <c r="AG3" s="1"/>
      <c r="AH3" s="1"/>
      <c r="AI3" s="1"/>
    </row>
    <row r="4" spans="1:35" ht="33.6" x14ac:dyDescent="0.65">
      <c r="A4" s="1"/>
      <c r="B4" s="14"/>
      <c r="C4" s="15"/>
      <c r="D4" s="16"/>
      <c r="E4" s="14"/>
      <c r="F4" s="17"/>
      <c r="G4" s="17"/>
      <c r="H4" s="14"/>
      <c r="I4" s="18" t="s">
        <v>0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2"/>
      <c r="W4" s="13"/>
      <c r="X4" s="1"/>
      <c r="Y4" s="1"/>
      <c r="Z4" s="5"/>
      <c r="AA4" s="6"/>
      <c r="AB4" s="6"/>
      <c r="AC4" s="7"/>
      <c r="AD4" s="3"/>
      <c r="AE4" s="1"/>
      <c r="AF4" s="1"/>
      <c r="AG4" s="1"/>
      <c r="AH4" s="1"/>
      <c r="AI4" s="1"/>
    </row>
    <row r="5" spans="1:35" ht="18" x14ac:dyDescent="0.35">
      <c r="A5" s="1"/>
      <c r="B5" s="1"/>
      <c r="C5" s="2"/>
      <c r="D5" s="2"/>
      <c r="E5" s="2"/>
      <c r="F5" s="2"/>
      <c r="G5" s="3"/>
      <c r="H5" s="1"/>
      <c r="I5" s="1"/>
      <c r="J5" s="1"/>
      <c r="K5" s="1"/>
      <c r="L5" s="1"/>
      <c r="M5" s="1"/>
      <c r="N5" s="1"/>
      <c r="O5" s="1"/>
      <c r="P5" s="1"/>
      <c r="Q5" s="19"/>
      <c r="R5" s="1"/>
      <c r="S5" s="1"/>
      <c r="T5" s="1"/>
      <c r="U5" s="1"/>
      <c r="V5" s="1"/>
      <c r="W5" s="1"/>
      <c r="X5" s="20"/>
      <c r="Y5" s="1"/>
      <c r="Z5" s="5"/>
      <c r="AA5" s="6"/>
      <c r="AB5" s="6"/>
      <c r="AC5" s="7"/>
      <c r="AD5" s="3"/>
      <c r="AE5" s="1"/>
      <c r="AF5" s="1"/>
      <c r="AG5" s="1"/>
      <c r="AH5" s="1"/>
      <c r="AI5" s="1"/>
    </row>
    <row r="6" spans="1:35" ht="18" x14ac:dyDescent="0.35">
      <c r="A6" s="1"/>
      <c r="B6" s="1"/>
      <c r="C6" s="2"/>
      <c r="D6" s="2"/>
      <c r="E6" s="2"/>
      <c r="F6" s="2"/>
      <c r="G6" s="3"/>
      <c r="H6" s="1"/>
      <c r="I6" s="1"/>
      <c r="J6" s="1"/>
      <c r="K6" s="1"/>
      <c r="L6" s="1"/>
      <c r="M6" s="1"/>
      <c r="N6" s="1"/>
      <c r="O6" s="1"/>
      <c r="P6" s="1"/>
      <c r="Q6" s="19"/>
      <c r="R6" s="1"/>
      <c r="S6" s="1"/>
      <c r="T6" s="1"/>
      <c r="U6" s="1"/>
      <c r="V6" s="1"/>
      <c r="W6" s="1"/>
      <c r="X6" s="20"/>
      <c r="Y6" s="1"/>
      <c r="Z6" s="5"/>
      <c r="AA6" s="6"/>
      <c r="AB6" s="6"/>
      <c r="AC6" s="7"/>
      <c r="AD6" s="3"/>
      <c r="AE6" s="1"/>
      <c r="AF6" s="1"/>
      <c r="AG6" s="1"/>
      <c r="AH6" s="1"/>
      <c r="AI6" s="1"/>
    </row>
    <row r="7" spans="1:35" ht="18" x14ac:dyDescent="0.35">
      <c r="A7" s="1"/>
      <c r="B7" s="21"/>
      <c r="C7" s="22"/>
      <c r="D7" s="22"/>
      <c r="E7" s="22"/>
      <c r="F7" s="22"/>
      <c r="G7" s="23"/>
      <c r="H7" s="24"/>
      <c r="I7" s="24"/>
      <c r="J7" s="24"/>
      <c r="K7" s="24"/>
      <c r="L7" s="24"/>
      <c r="M7" s="24"/>
      <c r="N7" s="24"/>
      <c r="O7" s="24"/>
      <c r="P7" s="24"/>
      <c r="Q7" s="25"/>
      <c r="R7" s="24"/>
      <c r="S7" s="24"/>
      <c r="T7" s="24"/>
      <c r="U7" s="24"/>
      <c r="V7" s="24"/>
      <c r="W7" s="24"/>
      <c r="X7" s="26"/>
      <c r="Y7" s="24"/>
      <c r="Z7" s="27"/>
      <c r="AA7" s="28"/>
      <c r="AB7" s="28"/>
      <c r="AC7" s="29"/>
      <c r="AD7" s="23"/>
      <c r="AE7" s="24"/>
      <c r="AF7" s="30"/>
      <c r="AG7" s="1"/>
      <c r="AH7" s="1"/>
      <c r="AI7" s="1"/>
    </row>
    <row r="8" spans="1:35" ht="21" x14ac:dyDescent="0.4">
      <c r="A8" s="1"/>
      <c r="B8" s="31"/>
      <c r="C8" s="32"/>
      <c r="D8" s="32"/>
      <c r="E8" s="32"/>
      <c r="F8" s="32"/>
      <c r="G8" s="33"/>
      <c r="H8" s="34"/>
      <c r="I8" s="34"/>
      <c r="J8" s="34"/>
      <c r="K8" s="35" t="s">
        <v>1</v>
      </c>
      <c r="L8" s="35"/>
      <c r="M8" s="35"/>
      <c r="N8" s="35"/>
      <c r="O8" s="35"/>
      <c r="P8" s="35"/>
      <c r="Q8" s="35"/>
      <c r="R8" s="35"/>
      <c r="S8" s="34"/>
      <c r="T8" s="34"/>
      <c r="U8" s="34"/>
      <c r="V8" s="34"/>
      <c r="W8" s="34"/>
      <c r="X8" s="36"/>
      <c r="Y8" s="34"/>
      <c r="Z8" s="37"/>
      <c r="AA8" s="38"/>
      <c r="AB8" s="38"/>
      <c r="AC8" s="39"/>
      <c r="AD8" s="33"/>
      <c r="AE8" s="34"/>
      <c r="AF8" s="40"/>
      <c r="AG8" s="1"/>
      <c r="AH8" s="1"/>
      <c r="AI8" s="1"/>
    </row>
    <row r="9" spans="1:35" ht="18" x14ac:dyDescent="0.35">
      <c r="A9" s="1"/>
      <c r="B9" s="31"/>
      <c r="C9" s="32"/>
      <c r="D9" s="32"/>
      <c r="E9" s="32"/>
      <c r="F9" s="32"/>
      <c r="G9" s="33"/>
      <c r="H9" s="34"/>
      <c r="I9" s="34"/>
      <c r="J9" s="34"/>
      <c r="K9" s="34"/>
      <c r="L9" s="34"/>
      <c r="M9" s="34"/>
      <c r="N9" s="34"/>
      <c r="O9" s="34"/>
      <c r="P9" s="34"/>
      <c r="Q9" s="41"/>
      <c r="R9" s="34"/>
      <c r="S9" s="34"/>
      <c r="T9" s="34"/>
      <c r="U9" s="34"/>
      <c r="V9" s="34"/>
      <c r="W9" s="34"/>
      <c r="X9" s="36"/>
      <c r="Y9" s="34"/>
      <c r="Z9" s="37"/>
      <c r="AA9" s="38"/>
      <c r="AB9" s="38"/>
      <c r="AC9" s="39"/>
      <c r="AD9" s="33"/>
      <c r="AE9" s="34"/>
      <c r="AF9" s="40"/>
      <c r="AG9" s="1"/>
      <c r="AH9" s="1"/>
      <c r="AI9" s="1"/>
    </row>
    <row r="10" spans="1:35" ht="18" x14ac:dyDescent="0.35">
      <c r="A10" s="1"/>
      <c r="B10" s="31"/>
      <c r="C10" s="42" t="s">
        <v>2</v>
      </c>
      <c r="D10" s="42"/>
      <c r="E10" s="42"/>
      <c r="F10" s="42"/>
      <c r="G10" s="42"/>
      <c r="H10" s="42"/>
      <c r="I10" s="42"/>
      <c r="J10" s="34"/>
      <c r="K10" s="34"/>
      <c r="L10" s="34"/>
      <c r="M10" s="34"/>
      <c r="N10" s="34"/>
      <c r="O10" s="34"/>
      <c r="P10" s="34"/>
      <c r="Q10" s="41"/>
      <c r="R10" s="34"/>
      <c r="S10" s="34"/>
      <c r="T10" s="34"/>
      <c r="U10" s="34"/>
      <c r="V10" s="34"/>
      <c r="W10" s="34"/>
      <c r="X10" s="36"/>
      <c r="Y10" s="34"/>
      <c r="Z10" s="37"/>
      <c r="AA10" s="38"/>
      <c r="AB10" s="38"/>
      <c r="AC10" s="39"/>
      <c r="AD10" s="33"/>
      <c r="AE10" s="34"/>
      <c r="AF10" s="40"/>
      <c r="AG10" s="1"/>
      <c r="AH10" s="1"/>
      <c r="AI10" s="1"/>
    </row>
    <row r="11" spans="1:35" ht="71.400000000000006" x14ac:dyDescent="0.3">
      <c r="A11" s="43"/>
      <c r="B11" s="44"/>
      <c r="C11" s="45" t="s">
        <v>3</v>
      </c>
      <c r="D11" s="46"/>
      <c r="E11" s="46"/>
      <c r="F11" s="46"/>
      <c r="G11" s="47"/>
      <c r="H11" s="48" t="s">
        <v>4</v>
      </c>
      <c r="I11" s="49"/>
      <c r="J11" s="50"/>
      <c r="K11" s="45" t="s">
        <v>3</v>
      </c>
      <c r="L11" s="46"/>
      <c r="M11" s="46"/>
      <c r="N11" s="46"/>
      <c r="O11" s="46"/>
      <c r="P11" s="48" t="s">
        <v>4</v>
      </c>
      <c r="Q11" s="49"/>
      <c r="R11" s="50"/>
      <c r="S11" s="45" t="s">
        <v>3</v>
      </c>
      <c r="T11" s="46"/>
      <c r="U11" s="46"/>
      <c r="V11" s="47"/>
      <c r="W11" s="51" t="s">
        <v>4</v>
      </c>
      <c r="X11" s="52"/>
      <c r="Y11" s="53" t="s">
        <v>3</v>
      </c>
      <c r="Z11" s="53"/>
      <c r="AA11" s="53"/>
      <c r="AB11" s="53"/>
      <c r="AC11" s="53"/>
      <c r="AD11" s="54" t="s">
        <v>4</v>
      </c>
      <c r="AE11" s="54"/>
      <c r="AF11" s="55"/>
      <c r="AG11" s="43"/>
      <c r="AH11" s="43"/>
      <c r="AI11" s="43"/>
    </row>
    <row r="12" spans="1:35" ht="18" x14ac:dyDescent="0.3">
      <c r="A12" s="43"/>
      <c r="B12" s="44"/>
      <c r="C12" s="56" t="s">
        <v>5</v>
      </c>
      <c r="D12" s="57"/>
      <c r="E12" s="57"/>
      <c r="F12" s="57"/>
      <c r="G12" s="58"/>
      <c r="H12" s="59">
        <f>P12+W12+AD12</f>
        <v>1140000</v>
      </c>
      <c r="I12" s="60"/>
      <c r="J12" s="50"/>
      <c r="K12" s="61" t="s">
        <v>6</v>
      </c>
      <c r="L12" s="62"/>
      <c r="M12" s="62"/>
      <c r="N12" s="62"/>
      <c r="O12" s="63"/>
      <c r="P12" s="64">
        <v>800000</v>
      </c>
      <c r="Q12" s="65"/>
      <c r="R12" s="50"/>
      <c r="S12" s="61" t="s">
        <v>7</v>
      </c>
      <c r="T12" s="62"/>
      <c r="U12" s="62"/>
      <c r="V12" s="63"/>
      <c r="W12" s="66">
        <v>300000</v>
      </c>
      <c r="X12" s="52"/>
      <c r="Y12" s="67" t="s">
        <v>8</v>
      </c>
      <c r="Z12" s="67"/>
      <c r="AA12" s="67"/>
      <c r="AB12" s="67"/>
      <c r="AC12" s="67"/>
      <c r="AD12" s="68">
        <v>40000</v>
      </c>
      <c r="AE12" s="68"/>
      <c r="AF12" s="55"/>
      <c r="AG12" s="43"/>
      <c r="AH12" s="43"/>
      <c r="AI12" s="43"/>
    </row>
    <row r="13" spans="1:35" ht="15.6" x14ac:dyDescent="0.3">
      <c r="A13" s="43"/>
      <c r="B13" s="44"/>
      <c r="C13" s="69" t="s">
        <v>9</v>
      </c>
      <c r="D13" s="70"/>
      <c r="E13" s="70"/>
      <c r="F13" s="70"/>
      <c r="G13" s="71"/>
      <c r="H13" s="59">
        <f>P13+W13+AD13</f>
        <v>2000</v>
      </c>
      <c r="I13" s="60"/>
      <c r="J13" s="50"/>
      <c r="K13" s="72" t="s">
        <v>9</v>
      </c>
      <c r="L13" s="73"/>
      <c r="M13" s="73"/>
      <c r="N13" s="73"/>
      <c r="O13" s="74"/>
      <c r="P13" s="75"/>
      <c r="Q13" s="76"/>
      <c r="R13" s="50"/>
      <c r="S13" s="69" t="s">
        <v>9</v>
      </c>
      <c r="T13" s="77"/>
      <c r="U13" s="77"/>
      <c r="V13" s="78"/>
      <c r="W13" s="79"/>
      <c r="X13" s="52"/>
      <c r="Y13" s="69" t="s">
        <v>9</v>
      </c>
      <c r="Z13" s="77"/>
      <c r="AA13" s="77"/>
      <c r="AB13" s="77"/>
      <c r="AC13" s="78"/>
      <c r="AD13" s="75">
        <v>2000</v>
      </c>
      <c r="AE13" s="76"/>
      <c r="AF13" s="55"/>
      <c r="AG13" s="43"/>
      <c r="AH13" s="43"/>
      <c r="AI13" s="43"/>
    </row>
    <row r="14" spans="1:35" ht="15.6" x14ac:dyDescent="0.3">
      <c r="A14" s="43"/>
      <c r="B14" s="44"/>
      <c r="C14" s="80" t="s">
        <v>10</v>
      </c>
      <c r="D14" s="81"/>
      <c r="E14" s="81"/>
      <c r="F14" s="81"/>
      <c r="G14" s="81"/>
      <c r="H14" s="82"/>
      <c r="I14" s="82"/>
      <c r="J14" s="50"/>
      <c r="K14" s="80" t="s">
        <v>10</v>
      </c>
      <c r="L14" s="83"/>
      <c r="M14" s="83"/>
      <c r="N14" s="83"/>
      <c r="O14" s="83"/>
      <c r="P14" s="84"/>
      <c r="Q14" s="84"/>
      <c r="R14" s="50"/>
      <c r="S14" s="80" t="s">
        <v>10</v>
      </c>
      <c r="T14" s="85"/>
      <c r="U14" s="85"/>
      <c r="V14" s="85"/>
      <c r="W14" s="84"/>
      <c r="X14" s="52"/>
      <c r="Y14" s="80" t="s">
        <v>10</v>
      </c>
      <c r="Z14" s="85"/>
      <c r="AA14" s="85"/>
      <c r="AB14" s="85"/>
      <c r="AC14" s="85"/>
      <c r="AD14" s="84"/>
      <c r="AE14" s="84"/>
      <c r="AF14" s="55"/>
      <c r="AG14" s="43"/>
      <c r="AH14" s="43"/>
      <c r="AI14" s="43"/>
    </row>
    <row r="15" spans="1:35" ht="20.399999999999999" x14ac:dyDescent="0.3">
      <c r="A15" s="43"/>
      <c r="B15" s="44"/>
      <c r="C15" s="86"/>
      <c r="D15" s="52"/>
      <c r="E15" s="52"/>
      <c r="F15" s="52"/>
      <c r="G15" s="52"/>
      <c r="H15" s="87" t="s">
        <v>11</v>
      </c>
      <c r="I15" s="88"/>
      <c r="J15" s="89"/>
      <c r="K15" s="90" t="s">
        <v>12</v>
      </c>
      <c r="L15" s="90"/>
      <c r="M15" s="90"/>
      <c r="N15" s="90"/>
      <c r="O15" s="91" t="s">
        <v>13</v>
      </c>
      <c r="P15" s="52"/>
      <c r="Q15" s="89"/>
      <c r="R15" s="89"/>
      <c r="S15" s="92" t="s">
        <v>12</v>
      </c>
      <c r="T15" s="92"/>
      <c r="U15" s="92"/>
      <c r="V15" s="91" t="s">
        <v>13</v>
      </c>
      <c r="W15" s="52"/>
      <c r="X15" s="52"/>
      <c r="Y15" s="92" t="s">
        <v>12</v>
      </c>
      <c r="Z15" s="92"/>
      <c r="AA15" s="93" t="s">
        <v>14</v>
      </c>
      <c r="AB15" s="93"/>
      <c r="AC15" s="91" t="s">
        <v>13</v>
      </c>
      <c r="AD15" s="52"/>
      <c r="AE15" s="89"/>
      <c r="AF15" s="55"/>
      <c r="AG15" s="43"/>
      <c r="AH15" s="43"/>
      <c r="AI15" s="43"/>
    </row>
    <row r="16" spans="1:35" ht="15.6" x14ac:dyDescent="0.3">
      <c r="A16" s="1"/>
      <c r="B16" s="31"/>
      <c r="C16" s="94" t="s">
        <v>15</v>
      </c>
      <c r="D16" s="94"/>
      <c r="E16" s="94"/>
      <c r="F16" s="94"/>
      <c r="G16" s="95"/>
      <c r="H16" s="96">
        <f>IF(O16="x",P16,0) + IF(V16="x",W16,0) + IF(AC16="x",AD16,0)</f>
        <v>154800</v>
      </c>
      <c r="I16" s="97"/>
      <c r="J16" s="34"/>
      <c r="K16" s="98" t="s">
        <v>15</v>
      </c>
      <c r="L16" s="98"/>
      <c r="M16" s="99" t="s">
        <v>16</v>
      </c>
      <c r="N16" s="99">
        <v>0.12</v>
      </c>
      <c r="O16" s="100" t="s">
        <v>17</v>
      </c>
      <c r="P16" s="101">
        <f>IF(O16="x", (P12*N16), 0)</f>
        <v>96000</v>
      </c>
      <c r="Q16" s="102"/>
      <c r="R16" s="103"/>
      <c r="S16" s="104" t="s">
        <v>15</v>
      </c>
      <c r="T16" s="99" t="s">
        <v>16</v>
      </c>
      <c r="U16" s="99">
        <v>0.18</v>
      </c>
      <c r="V16" s="100" t="s">
        <v>17</v>
      </c>
      <c r="W16" s="105">
        <f>IF(V16="x", (W12*U16), 0)</f>
        <v>54000</v>
      </c>
      <c r="X16" s="34"/>
      <c r="Y16" s="98" t="s">
        <v>15</v>
      </c>
      <c r="Z16" s="98"/>
      <c r="AA16" s="99" t="s">
        <v>16</v>
      </c>
      <c r="AB16" s="99">
        <v>0.12</v>
      </c>
      <c r="AC16" s="100" t="s">
        <v>17</v>
      </c>
      <c r="AD16" s="101">
        <f>IF(AC16="x", (AD12*AB16), 0)</f>
        <v>4800</v>
      </c>
      <c r="AE16" s="102"/>
      <c r="AF16" s="40"/>
      <c r="AG16" s="1"/>
      <c r="AH16" s="1"/>
      <c r="AI16" s="1"/>
    </row>
    <row r="17" spans="1:35" x14ac:dyDescent="0.3">
      <c r="A17" s="1"/>
      <c r="B17" s="31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106"/>
      <c r="U17" s="106"/>
      <c r="V17" s="34"/>
      <c r="W17" s="34"/>
      <c r="X17" s="34"/>
      <c r="Y17" s="34"/>
      <c r="Z17" s="34"/>
      <c r="AA17" s="34"/>
      <c r="AB17" s="34"/>
      <c r="AC17" s="34"/>
      <c r="AD17" s="106"/>
      <c r="AE17" s="106"/>
      <c r="AF17" s="40"/>
      <c r="AG17" s="1"/>
      <c r="AH17" s="1"/>
      <c r="AI17" s="1"/>
    </row>
    <row r="18" spans="1:35" ht="15.6" x14ac:dyDescent="0.3">
      <c r="A18" s="1"/>
      <c r="B18" s="31"/>
      <c r="C18" s="107" t="s">
        <v>18</v>
      </c>
      <c r="D18" s="107"/>
      <c r="E18" s="107"/>
      <c r="F18" s="107"/>
      <c r="G18" s="108"/>
      <c r="H18" s="96">
        <f>IF(O18="x",P18,0) + IF(V18="x",W18,0) + IF(AC18="x",AD18,0)</f>
        <v>105450</v>
      </c>
      <c r="I18" s="97"/>
      <c r="J18" s="34"/>
      <c r="K18" s="98" t="s">
        <v>18</v>
      </c>
      <c r="L18" s="98"/>
      <c r="M18" s="99" t="s">
        <v>16</v>
      </c>
      <c r="N18" s="99">
        <v>9.2499999999999999E-2</v>
      </c>
      <c r="O18" s="100" t="s">
        <v>17</v>
      </c>
      <c r="P18" s="101">
        <f>IF(O18="x", (P12*N18), 0)</f>
        <v>74000</v>
      </c>
      <c r="Q18" s="102"/>
      <c r="R18" s="103"/>
      <c r="S18" s="104" t="s">
        <v>18</v>
      </c>
      <c r="T18" s="99" t="s">
        <v>16</v>
      </c>
      <c r="U18" s="99">
        <v>9.2499999999999999E-2</v>
      </c>
      <c r="V18" s="100" t="s">
        <v>17</v>
      </c>
      <c r="W18" s="105">
        <f>IF(V18="x", (W12*U18), 0)</f>
        <v>27750</v>
      </c>
      <c r="X18" s="34"/>
      <c r="Y18" s="98" t="s">
        <v>18</v>
      </c>
      <c r="Z18" s="98"/>
      <c r="AA18" s="99" t="s">
        <v>16</v>
      </c>
      <c r="AB18" s="99">
        <v>9.2499999999999999E-2</v>
      </c>
      <c r="AC18" s="100" t="s">
        <v>17</v>
      </c>
      <c r="AD18" s="101">
        <f>IF(AC18="x", (AD12*AB18), 0)</f>
        <v>3700</v>
      </c>
      <c r="AE18" s="102"/>
      <c r="AF18" s="40"/>
      <c r="AG18" s="1"/>
      <c r="AH18" s="1"/>
      <c r="AI18" s="1"/>
    </row>
    <row r="19" spans="1:35" x14ac:dyDescent="0.3">
      <c r="A19" s="1"/>
      <c r="B19" s="31"/>
      <c r="C19" s="34"/>
      <c r="D19" s="34"/>
      <c r="E19" s="34"/>
      <c r="F19" s="34"/>
      <c r="G19" s="39"/>
      <c r="H19" s="39"/>
      <c r="I19" s="39"/>
      <c r="J19" s="39"/>
      <c r="K19" s="39"/>
      <c r="L19" s="39"/>
      <c r="M19" s="39"/>
      <c r="N19" s="109"/>
      <c r="O19" s="39"/>
      <c r="P19" s="39"/>
      <c r="Q19" s="39"/>
      <c r="R19" s="39"/>
      <c r="S19" s="39"/>
      <c r="T19" s="109"/>
      <c r="U19" s="109"/>
      <c r="V19" s="39"/>
      <c r="W19" s="39"/>
      <c r="X19" s="39"/>
      <c r="Y19" s="39"/>
      <c r="Z19" s="39"/>
      <c r="AA19" s="39"/>
      <c r="AB19" s="109"/>
      <c r="AC19" s="39"/>
      <c r="AD19" s="39"/>
      <c r="AE19" s="39"/>
      <c r="AF19" s="40"/>
      <c r="AG19" s="1"/>
      <c r="AH19" s="1"/>
      <c r="AI19" s="1"/>
    </row>
    <row r="20" spans="1:35" x14ac:dyDescent="0.3">
      <c r="A20" s="1"/>
      <c r="B20" s="31"/>
      <c r="C20" s="34"/>
      <c r="D20" s="34"/>
      <c r="E20" s="34"/>
      <c r="F20" s="34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109"/>
      <c r="U20" s="109"/>
      <c r="V20" s="39"/>
      <c r="W20" s="39"/>
      <c r="X20" s="39"/>
      <c r="Y20" s="39"/>
      <c r="Z20" s="39"/>
      <c r="AA20" s="39"/>
      <c r="AB20" s="109"/>
      <c r="AC20" s="39"/>
      <c r="AD20" s="39"/>
      <c r="AE20" s="39"/>
      <c r="AF20" s="40"/>
      <c r="AG20" s="1"/>
      <c r="AH20" s="1"/>
      <c r="AI20" s="1"/>
    </row>
    <row r="21" spans="1:35" ht="15.6" x14ac:dyDescent="0.3">
      <c r="A21" s="110"/>
      <c r="B21" s="111"/>
      <c r="C21" s="107" t="s">
        <v>19</v>
      </c>
      <c r="D21" s="107"/>
      <c r="E21" s="107"/>
      <c r="F21" s="107"/>
      <c r="G21" s="112" t="s">
        <v>20</v>
      </c>
      <c r="H21" s="113">
        <f>IF(O21="x",P21,0) + IF(V21="x",W21,0) + IF(AC21="x",AD21,0)</f>
        <v>40000</v>
      </c>
      <c r="I21" s="114"/>
      <c r="J21" s="115"/>
      <c r="K21" s="98" t="s">
        <v>19</v>
      </c>
      <c r="L21" s="98"/>
      <c r="M21" s="99" t="s">
        <v>16</v>
      </c>
      <c r="N21" s="99">
        <v>0.05</v>
      </c>
      <c r="O21" s="100" t="s">
        <v>17</v>
      </c>
      <c r="P21" s="101">
        <f>IF(O21="x", (P12*N21), 0)</f>
        <v>40000</v>
      </c>
      <c r="Q21" s="102"/>
      <c r="R21" s="116"/>
      <c r="S21" s="104" t="s">
        <v>19</v>
      </c>
      <c r="T21" s="99" t="s">
        <v>16</v>
      </c>
      <c r="U21" s="99">
        <v>0.05</v>
      </c>
      <c r="V21" s="100"/>
      <c r="W21" s="117">
        <f>IF(V21="x", (W12*U21), 0)</f>
        <v>0</v>
      </c>
      <c r="X21" s="115"/>
      <c r="Y21" s="98" t="s">
        <v>19</v>
      </c>
      <c r="Z21" s="98"/>
      <c r="AA21" s="99" t="s">
        <v>16</v>
      </c>
      <c r="AB21" s="99">
        <v>0</v>
      </c>
      <c r="AC21" s="100"/>
      <c r="AD21" s="118">
        <f>IF(AC21="x", (AD12*AB21), 0)</f>
        <v>0</v>
      </c>
      <c r="AE21" s="119"/>
      <c r="AF21" s="120"/>
      <c r="AG21" s="110"/>
      <c r="AH21" s="110"/>
      <c r="AI21" s="110"/>
    </row>
    <row r="22" spans="1:35" x14ac:dyDescent="0.3">
      <c r="A22" s="1"/>
      <c r="B22" s="31"/>
      <c r="C22" s="121" t="s">
        <v>10</v>
      </c>
      <c r="D22" s="34"/>
      <c r="E22" s="34"/>
      <c r="F22" s="34"/>
      <c r="G22" s="39"/>
      <c r="H22" s="39"/>
      <c r="I22" s="39"/>
      <c r="J22" s="39"/>
      <c r="K22" s="121" t="s">
        <v>10</v>
      </c>
      <c r="L22" s="39"/>
      <c r="M22" s="39"/>
      <c r="N22" s="109"/>
      <c r="O22" s="39"/>
      <c r="P22" s="39"/>
      <c r="Q22" s="39"/>
      <c r="R22" s="39"/>
      <c r="S22" s="121" t="s">
        <v>10</v>
      </c>
      <c r="T22" s="39"/>
      <c r="U22" s="109"/>
      <c r="V22" s="39"/>
      <c r="W22" s="39"/>
      <c r="X22" s="39"/>
      <c r="Y22" s="121" t="s">
        <v>10</v>
      </c>
      <c r="Z22" s="39"/>
      <c r="AA22" s="39"/>
      <c r="AB22" s="109"/>
      <c r="AC22" s="39"/>
      <c r="AD22" s="39"/>
      <c r="AE22" s="39"/>
      <c r="AF22" s="40"/>
      <c r="AG22" s="1"/>
      <c r="AH22" s="1"/>
      <c r="AI22" s="1"/>
    </row>
    <row r="23" spans="1:35" ht="15.6" x14ac:dyDescent="0.3">
      <c r="A23" s="110"/>
      <c r="B23" s="111"/>
      <c r="C23" s="11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  <c r="Q23" s="115"/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20"/>
      <c r="AG23" s="110"/>
      <c r="AH23" s="110"/>
      <c r="AI23" s="110"/>
    </row>
    <row r="24" spans="1:35" ht="15.6" x14ac:dyDescent="0.3">
      <c r="A24" s="110"/>
      <c r="B24" s="111"/>
      <c r="C24" s="122" t="s">
        <v>21</v>
      </c>
      <c r="D24" s="123"/>
      <c r="E24" s="123"/>
      <c r="F24" s="123"/>
      <c r="G24" s="123"/>
      <c r="H24" s="124">
        <f>SUM(H12:I13)-SUM(H16:I18,H21)</f>
        <v>841750</v>
      </c>
      <c r="I24" s="125"/>
      <c r="J24" s="115"/>
      <c r="K24" s="126" t="s">
        <v>22</v>
      </c>
      <c r="L24" s="127"/>
      <c r="M24" s="127"/>
      <c r="N24" s="127"/>
      <c r="O24" s="127"/>
      <c r="P24" s="128">
        <f>P12+P13-SUM(P16:Q18,P21)</f>
        <v>590000</v>
      </c>
      <c r="Q24" s="129"/>
      <c r="R24" s="130"/>
      <c r="S24" s="126" t="s">
        <v>22</v>
      </c>
      <c r="T24" s="127"/>
      <c r="U24" s="127"/>
      <c r="V24" s="131"/>
      <c r="W24" s="132">
        <f>SUM(W12+W13-SUM(W16:W18,W21))</f>
        <v>218250</v>
      </c>
      <c r="X24" s="115"/>
      <c r="Y24" s="126" t="s">
        <v>22</v>
      </c>
      <c r="Z24" s="133"/>
      <c r="AA24" s="133"/>
      <c r="AB24" s="133"/>
      <c r="AC24" s="134"/>
      <c r="AD24" s="135">
        <f>SUM(AD12+AD13-SUM(AD16:AE18,AD21))</f>
        <v>33500</v>
      </c>
      <c r="AE24" s="136"/>
      <c r="AF24" s="120"/>
      <c r="AG24" s="110"/>
      <c r="AH24" s="110"/>
      <c r="AI24" s="110"/>
    </row>
    <row r="25" spans="1:35" ht="15.6" x14ac:dyDescent="0.3">
      <c r="A25" s="110"/>
      <c r="B25" s="111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20"/>
      <c r="AG25" s="110"/>
      <c r="AH25" s="110"/>
      <c r="AI25" s="110"/>
    </row>
    <row r="26" spans="1:35" ht="15.6" x14ac:dyDescent="0.3">
      <c r="A26" s="110"/>
      <c r="B26" s="137"/>
      <c r="C26" s="138"/>
      <c r="D26" s="139"/>
      <c r="E26" s="139"/>
      <c r="F26" s="139"/>
      <c r="G26" s="140"/>
      <c r="H26" s="140"/>
      <c r="I26" s="140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40"/>
      <c r="V26" s="140"/>
      <c r="W26" s="141"/>
      <c r="X26" s="140"/>
      <c r="Y26" s="142"/>
      <c r="Z26" s="140"/>
      <c r="AA26" s="143"/>
      <c r="AB26" s="143"/>
      <c r="AC26" s="144"/>
      <c r="AD26" s="145"/>
      <c r="AE26" s="145"/>
      <c r="AF26" s="146"/>
      <c r="AG26" s="110"/>
      <c r="AH26" s="110"/>
      <c r="AI26" s="110"/>
    </row>
    <row r="27" spans="1:35" ht="15.6" x14ac:dyDescent="0.3">
      <c r="A27" s="110"/>
      <c r="B27" s="110"/>
      <c r="C27" s="147"/>
      <c r="D27" s="110"/>
      <c r="E27" s="110"/>
      <c r="F27" s="110"/>
      <c r="G27" s="148"/>
      <c r="H27" s="148"/>
      <c r="I27" s="148"/>
      <c r="J27" s="110"/>
      <c r="K27" s="110"/>
      <c r="L27" s="110"/>
      <c r="M27" s="110"/>
      <c r="N27" s="110"/>
      <c r="O27" s="110"/>
      <c r="P27" s="110"/>
      <c r="Q27" s="110"/>
      <c r="R27" s="149"/>
      <c r="S27" s="110"/>
      <c r="T27" s="110"/>
      <c r="U27" s="148"/>
      <c r="V27" s="148"/>
      <c r="W27" s="110"/>
      <c r="X27" s="110"/>
      <c r="Y27" s="110"/>
      <c r="Z27" s="110"/>
      <c r="AA27" s="110"/>
      <c r="AB27" s="110"/>
      <c r="AC27" s="149"/>
      <c r="AD27" s="149"/>
      <c r="AE27" s="110"/>
      <c r="AF27" s="148"/>
      <c r="AG27" s="110"/>
      <c r="AH27" s="110"/>
      <c r="AI27" s="110"/>
    </row>
    <row r="28" spans="1:35" ht="15.6" x14ac:dyDescent="0.3">
      <c r="A28" s="110"/>
      <c r="B28" s="150"/>
      <c r="C28" s="151"/>
      <c r="D28" s="152"/>
      <c r="E28" s="152"/>
      <c r="F28" s="152"/>
      <c r="G28" s="153"/>
      <c r="H28" s="153"/>
      <c r="I28" s="153"/>
      <c r="J28" s="152"/>
      <c r="K28" s="152"/>
      <c r="L28" s="152"/>
      <c r="M28" s="152"/>
      <c r="N28" s="152"/>
      <c r="O28" s="152"/>
      <c r="P28" s="152"/>
      <c r="Q28" s="152"/>
      <c r="R28" s="154"/>
      <c r="S28" s="152"/>
      <c r="T28" s="152"/>
      <c r="U28" s="153"/>
      <c r="V28" s="153"/>
      <c r="W28" s="152"/>
      <c r="X28" s="155"/>
      <c r="Y28" s="110"/>
      <c r="Z28" s="110"/>
      <c r="AA28" s="110"/>
      <c r="AB28" s="110"/>
      <c r="AC28" s="149"/>
      <c r="AD28" s="149"/>
      <c r="AE28" s="110"/>
      <c r="AF28" s="148"/>
      <c r="AG28" s="110"/>
      <c r="AH28" s="110"/>
      <c r="AI28" s="110"/>
    </row>
    <row r="29" spans="1:35" ht="21" x14ac:dyDescent="0.4">
      <c r="A29" s="110"/>
      <c r="B29" s="156"/>
      <c r="C29" s="157"/>
      <c r="D29" s="158"/>
      <c r="E29" s="158"/>
      <c r="F29" s="158"/>
      <c r="G29" s="159"/>
      <c r="H29" s="159"/>
      <c r="I29" s="159"/>
      <c r="J29" s="158"/>
      <c r="K29" s="160" t="s">
        <v>23</v>
      </c>
      <c r="L29" s="160"/>
      <c r="M29" s="160"/>
      <c r="N29" s="160"/>
      <c r="O29" s="160"/>
      <c r="P29" s="160"/>
      <c r="Q29" s="160"/>
      <c r="R29" s="160"/>
      <c r="S29" s="158"/>
      <c r="T29" s="158"/>
      <c r="U29" s="159"/>
      <c r="V29" s="159"/>
      <c r="W29" s="158"/>
      <c r="X29" s="161"/>
      <c r="Y29" s="110"/>
      <c r="Z29" s="110"/>
      <c r="AA29" s="110"/>
      <c r="AB29" s="110"/>
      <c r="AC29" s="149"/>
      <c r="AD29" s="149"/>
      <c r="AE29" s="110"/>
      <c r="AF29" s="148"/>
      <c r="AG29" s="110"/>
      <c r="AH29" s="110"/>
      <c r="AI29" s="110"/>
    </row>
    <row r="30" spans="1:35" ht="15.6" x14ac:dyDescent="0.3">
      <c r="A30" s="110"/>
      <c r="B30" s="156"/>
      <c r="C30" s="157"/>
      <c r="D30" s="158"/>
      <c r="E30" s="158"/>
      <c r="F30" s="158"/>
      <c r="G30" s="159"/>
      <c r="H30" s="159"/>
      <c r="I30" s="159"/>
      <c r="J30" s="158"/>
      <c r="K30" s="158"/>
      <c r="L30" s="158"/>
      <c r="M30" s="158"/>
      <c r="N30" s="158"/>
      <c r="O30" s="158"/>
      <c r="P30" s="158"/>
      <c r="Q30" s="158"/>
      <c r="R30" s="162"/>
      <c r="S30" s="158"/>
      <c r="T30" s="158"/>
      <c r="U30" s="159"/>
      <c r="V30" s="159"/>
      <c r="W30" s="158"/>
      <c r="X30" s="161"/>
      <c r="Y30" s="110"/>
      <c r="Z30" s="110"/>
      <c r="AA30" s="110"/>
      <c r="AB30" s="110"/>
      <c r="AC30" s="149"/>
      <c r="AD30" s="149"/>
      <c r="AE30" s="110"/>
      <c r="AF30" s="148"/>
      <c r="AG30" s="110"/>
      <c r="AH30" s="110"/>
      <c r="AI30" s="110"/>
    </row>
    <row r="31" spans="1:35" ht="18" x14ac:dyDescent="0.35">
      <c r="A31" s="110"/>
      <c r="B31" s="156"/>
      <c r="C31" s="163" t="s">
        <v>2</v>
      </c>
      <c r="D31" s="163"/>
      <c r="E31" s="163"/>
      <c r="F31" s="163"/>
      <c r="G31" s="163"/>
      <c r="H31" s="163"/>
      <c r="I31" s="163"/>
      <c r="J31" s="158"/>
      <c r="K31" s="164"/>
      <c r="L31" s="164"/>
      <c r="M31" s="164"/>
      <c r="N31" s="164"/>
      <c r="O31" s="164"/>
      <c r="P31" s="164"/>
      <c r="Q31" s="164"/>
      <c r="R31" s="158"/>
      <c r="S31" s="158"/>
      <c r="T31" s="158"/>
      <c r="U31" s="158"/>
      <c r="V31" s="159"/>
      <c r="W31" s="158"/>
      <c r="X31" s="161"/>
      <c r="Y31" s="110"/>
      <c r="Z31" s="110"/>
      <c r="AA31" s="110"/>
      <c r="AB31" s="110"/>
      <c r="AC31" s="165"/>
      <c r="AD31" s="165"/>
      <c r="AE31" s="165"/>
      <c r="AF31" s="165"/>
      <c r="AG31" s="110"/>
      <c r="AH31" s="110"/>
      <c r="AI31" s="110"/>
    </row>
    <row r="32" spans="1:35" ht="15.6" x14ac:dyDescent="0.3">
      <c r="A32" s="110"/>
      <c r="B32" s="156"/>
      <c r="C32" s="166"/>
      <c r="D32" s="166"/>
      <c r="E32" s="166"/>
      <c r="F32" s="166"/>
      <c r="G32" s="166"/>
      <c r="H32" s="166"/>
      <c r="I32" s="166"/>
      <c r="J32" s="167"/>
      <c r="K32" s="168" t="s">
        <v>24</v>
      </c>
      <c r="L32" s="168"/>
      <c r="M32" s="168"/>
      <c r="N32" s="168"/>
      <c r="O32" s="168"/>
      <c r="P32" s="168" t="s">
        <v>25</v>
      </c>
      <c r="Q32" s="168"/>
      <c r="R32" s="167"/>
      <c r="S32" s="169" t="s">
        <v>24</v>
      </c>
      <c r="T32" s="170"/>
      <c r="U32" s="170"/>
      <c r="V32" s="171"/>
      <c r="W32" s="172" t="s">
        <v>25</v>
      </c>
      <c r="X32" s="161"/>
      <c r="Y32" s="110"/>
      <c r="Z32" s="110"/>
      <c r="AA32" s="110"/>
      <c r="AB32" s="110"/>
      <c r="AC32" s="165"/>
      <c r="AD32" s="110"/>
      <c r="AE32" s="110"/>
      <c r="AF32" s="173"/>
      <c r="AG32" s="110"/>
      <c r="AH32" s="110"/>
      <c r="AI32" s="110"/>
    </row>
    <row r="33" spans="1:35" ht="15.6" x14ac:dyDescent="0.3">
      <c r="A33" s="174"/>
      <c r="B33" s="175"/>
      <c r="C33" s="176" t="s">
        <v>26</v>
      </c>
      <c r="D33" s="177"/>
      <c r="E33" s="177"/>
      <c r="F33" s="177"/>
      <c r="G33" s="178"/>
      <c r="H33" s="179">
        <f>SUM(P33,W33)</f>
        <v>250000</v>
      </c>
      <c r="I33" s="179"/>
      <c r="J33" s="180"/>
      <c r="K33" s="181" t="s">
        <v>27</v>
      </c>
      <c r="L33" s="181"/>
      <c r="M33" s="181"/>
      <c r="N33" s="181"/>
      <c r="O33" s="181"/>
      <c r="P33" s="182">
        <v>250000</v>
      </c>
      <c r="Q33" s="182"/>
      <c r="R33" s="180"/>
      <c r="S33" s="183" t="s">
        <v>28</v>
      </c>
      <c r="T33" s="184"/>
      <c r="U33" s="184"/>
      <c r="V33" s="185"/>
      <c r="W33" s="186"/>
      <c r="X33" s="187"/>
      <c r="Y33" s="174"/>
      <c r="Z33" s="174"/>
      <c r="AA33" s="174"/>
      <c r="AB33" s="174"/>
      <c r="AC33" s="188"/>
      <c r="AD33" s="189"/>
      <c r="AE33" s="190"/>
      <c r="AF33" s="191"/>
      <c r="AG33" s="174"/>
      <c r="AH33" s="174"/>
      <c r="AI33" s="174"/>
    </row>
    <row r="34" spans="1:35" ht="15.6" x14ac:dyDescent="0.3">
      <c r="A34" s="110"/>
      <c r="B34" s="156"/>
      <c r="C34" s="192"/>
      <c r="D34" s="192"/>
      <c r="E34" s="192"/>
      <c r="F34" s="192"/>
      <c r="G34" s="192"/>
      <c r="H34" s="192"/>
      <c r="I34" s="192"/>
      <c r="J34" s="192"/>
      <c r="K34" s="193"/>
      <c r="L34" s="193"/>
      <c r="M34" s="193"/>
      <c r="N34" s="193"/>
      <c r="O34" s="193"/>
      <c r="P34" s="194"/>
      <c r="Q34" s="194"/>
      <c r="R34" s="195"/>
      <c r="S34" s="193"/>
      <c r="T34" s="193"/>
      <c r="U34" s="193"/>
      <c r="V34" s="193"/>
      <c r="W34" s="196"/>
      <c r="X34" s="161"/>
      <c r="Y34" s="110"/>
      <c r="Z34" s="110"/>
      <c r="AA34" s="110"/>
      <c r="AB34" s="110"/>
      <c r="AC34" s="197"/>
      <c r="AD34" s="165"/>
      <c r="AE34" s="198"/>
      <c r="AF34" s="199"/>
      <c r="AG34" s="110"/>
      <c r="AH34" s="110"/>
      <c r="AI34" s="110"/>
    </row>
    <row r="35" spans="1:35" ht="20.399999999999999" x14ac:dyDescent="0.3">
      <c r="A35" s="174"/>
      <c r="B35" s="175"/>
      <c r="C35" s="192"/>
      <c r="D35" s="200"/>
      <c r="E35" s="200"/>
      <c r="F35" s="200"/>
      <c r="G35" s="200"/>
      <c r="H35" s="201" t="s">
        <v>29</v>
      </c>
      <c r="I35" s="202"/>
      <c r="J35" s="180"/>
      <c r="K35" s="203"/>
      <c r="L35" s="200"/>
      <c r="M35" s="200"/>
      <c r="N35" s="203"/>
      <c r="O35" s="204"/>
      <c r="P35" s="200"/>
      <c r="Q35" s="180"/>
      <c r="R35" s="180"/>
      <c r="S35" s="203"/>
      <c r="T35" s="203"/>
      <c r="U35" s="203" t="s">
        <v>14</v>
      </c>
      <c r="V35" s="204" t="s">
        <v>13</v>
      </c>
      <c r="W35" s="200"/>
      <c r="X35" s="187"/>
      <c r="Y35" s="174"/>
      <c r="Z35" s="174"/>
      <c r="AA35" s="174"/>
      <c r="AB35" s="174"/>
      <c r="AC35" s="188"/>
      <c r="AD35" s="188"/>
      <c r="AE35" s="174"/>
      <c r="AF35" s="205"/>
      <c r="AG35" s="174"/>
      <c r="AH35" s="174"/>
      <c r="AI35" s="174"/>
    </row>
    <row r="36" spans="1:35" ht="15.6" x14ac:dyDescent="0.3">
      <c r="A36" s="1"/>
      <c r="B36" s="206"/>
      <c r="C36" s="207" t="s">
        <v>18</v>
      </c>
      <c r="D36" s="207"/>
      <c r="E36" s="207"/>
      <c r="F36" s="207"/>
      <c r="G36" s="208"/>
      <c r="H36" s="209">
        <f>IF(O36="x",P36,0) + IF(V36="x",W36,0)</f>
        <v>0</v>
      </c>
      <c r="I36" s="210"/>
      <c r="J36" s="211"/>
      <c r="K36" s="212"/>
      <c r="L36" s="212"/>
      <c r="M36" s="212"/>
      <c r="N36" s="213"/>
      <c r="O36" s="214"/>
      <c r="P36" s="215"/>
      <c r="Q36" s="216"/>
      <c r="R36" s="217"/>
      <c r="S36" s="218" t="s">
        <v>18</v>
      </c>
      <c r="T36" s="218"/>
      <c r="U36" s="219">
        <v>9.2499999999999999E-2</v>
      </c>
      <c r="V36" s="220"/>
      <c r="W36" s="221">
        <f>U36*(W33*C4)</f>
        <v>0</v>
      </c>
      <c r="X36" s="222"/>
      <c r="Y36" s="1"/>
      <c r="Z36" s="1"/>
      <c r="AA36" s="1"/>
      <c r="AB36" s="1"/>
      <c r="AC36" s="223"/>
      <c r="AD36" s="1"/>
      <c r="AE36" s="1"/>
      <c r="AF36" s="224"/>
      <c r="AG36" s="1"/>
      <c r="AH36" s="1"/>
      <c r="AI36" s="1"/>
    </row>
    <row r="37" spans="1:35" ht="15.6" x14ac:dyDescent="0.3">
      <c r="A37" s="1"/>
      <c r="B37" s="206"/>
      <c r="C37" s="157"/>
      <c r="D37" s="158"/>
      <c r="E37" s="158"/>
      <c r="F37" s="158"/>
      <c r="G37" s="159"/>
      <c r="H37" s="159"/>
      <c r="I37" s="159"/>
      <c r="J37" s="158"/>
      <c r="K37" s="157"/>
      <c r="L37" s="158"/>
      <c r="M37" s="158"/>
      <c r="N37" s="158"/>
      <c r="O37" s="159"/>
      <c r="P37" s="159"/>
      <c r="Q37" s="159"/>
      <c r="R37" s="162"/>
      <c r="S37" s="157"/>
      <c r="T37" s="157"/>
      <c r="U37" s="158"/>
      <c r="V37" s="159"/>
      <c r="W37" s="159"/>
      <c r="X37" s="222"/>
      <c r="Y37" s="1"/>
      <c r="Z37" s="1"/>
      <c r="AA37" s="1"/>
      <c r="AB37" s="1"/>
      <c r="AC37" s="223"/>
      <c r="AD37" s="1"/>
      <c r="AE37" s="1"/>
      <c r="AF37" s="224"/>
      <c r="AG37" s="1"/>
      <c r="AH37" s="1"/>
      <c r="AI37" s="1"/>
    </row>
    <row r="38" spans="1:35" ht="15.6" x14ac:dyDescent="0.3">
      <c r="A38" s="1"/>
      <c r="B38" s="206"/>
      <c r="C38" s="157"/>
      <c r="D38" s="158"/>
      <c r="E38" s="158"/>
      <c r="F38" s="158"/>
      <c r="G38" s="159"/>
      <c r="H38" s="159"/>
      <c r="I38" s="159"/>
      <c r="J38" s="158"/>
      <c r="K38" s="157"/>
      <c r="L38" s="158"/>
      <c r="M38" s="158"/>
      <c r="N38" s="158"/>
      <c r="O38" s="159"/>
      <c r="P38" s="159"/>
      <c r="Q38" s="159"/>
      <c r="R38" s="162"/>
      <c r="S38" s="157"/>
      <c r="T38" s="157"/>
      <c r="U38" s="158"/>
      <c r="V38" s="159"/>
      <c r="W38" s="225"/>
      <c r="X38" s="222"/>
      <c r="Y38" s="1"/>
      <c r="Z38" s="1"/>
      <c r="AA38" s="1"/>
      <c r="AB38" s="1"/>
      <c r="AC38" s="223"/>
      <c r="AD38" s="1"/>
      <c r="AE38" s="1"/>
      <c r="AF38" s="224"/>
      <c r="AG38" s="1"/>
      <c r="AH38" s="1"/>
      <c r="AI38" s="1"/>
    </row>
    <row r="39" spans="1:35" ht="15.6" x14ac:dyDescent="0.3">
      <c r="A39" s="1"/>
      <c r="B39" s="206"/>
      <c r="C39" s="226" t="s">
        <v>30</v>
      </c>
      <c r="D39" s="227"/>
      <c r="E39" s="227"/>
      <c r="F39" s="227"/>
      <c r="G39" s="228"/>
      <c r="H39" s="229">
        <f>SUM(H33)</f>
        <v>250000</v>
      </c>
      <c r="I39" s="230"/>
      <c r="J39" s="158"/>
      <c r="K39" s="157"/>
      <c r="L39" s="158"/>
      <c r="M39" s="158"/>
      <c r="N39" s="158"/>
      <c r="O39" s="159"/>
      <c r="P39" s="159"/>
      <c r="Q39" s="159"/>
      <c r="R39" s="162"/>
      <c r="S39" s="157"/>
      <c r="T39" s="157"/>
      <c r="U39" s="158"/>
      <c r="V39" s="159"/>
      <c r="W39" s="159"/>
      <c r="X39" s="222"/>
      <c r="Y39" s="1"/>
      <c r="Z39" s="1"/>
      <c r="AA39" s="1"/>
      <c r="AB39" s="1"/>
      <c r="AC39" s="223"/>
      <c r="AD39" s="1"/>
      <c r="AE39" s="1"/>
      <c r="AF39" s="224"/>
      <c r="AG39" s="1"/>
      <c r="AH39" s="1"/>
      <c r="AI39" s="1"/>
    </row>
    <row r="40" spans="1:35" x14ac:dyDescent="0.3">
      <c r="A40" s="1"/>
      <c r="B40" s="231"/>
      <c r="C40" s="232"/>
      <c r="D40" s="232"/>
      <c r="E40" s="232"/>
      <c r="F40" s="232"/>
      <c r="G40" s="233"/>
      <c r="H40" s="234"/>
      <c r="I40" s="234"/>
      <c r="J40" s="234"/>
      <c r="K40" s="234"/>
      <c r="L40" s="234"/>
      <c r="M40" s="234"/>
      <c r="N40" s="234"/>
      <c r="O40" s="234"/>
      <c r="P40" s="234"/>
      <c r="Q40" s="235"/>
      <c r="R40" s="235"/>
      <c r="S40" s="234"/>
      <c r="T40" s="234"/>
      <c r="U40" s="236"/>
      <c r="V40" s="236"/>
      <c r="W40" s="237"/>
      <c r="X40" s="238"/>
      <c r="Y40" s="1"/>
      <c r="Z40" s="5"/>
      <c r="AA40" s="239"/>
      <c r="AB40" s="239"/>
      <c r="AC40" s="240"/>
      <c r="AD40" s="3"/>
      <c r="AE40" s="1"/>
      <c r="AF40" s="1"/>
      <c r="AG40" s="1"/>
      <c r="AH40" s="1"/>
      <c r="AI40" s="1"/>
    </row>
    <row r="41" spans="1:35" x14ac:dyDescent="0.3">
      <c r="A41" s="1"/>
      <c r="B41" s="1"/>
      <c r="C41" s="2"/>
      <c r="D41" s="2"/>
      <c r="E41" s="2"/>
      <c r="F41" s="2"/>
      <c r="G41" s="3"/>
      <c r="H41" s="1"/>
      <c r="I41" s="1"/>
      <c r="J41" s="1"/>
      <c r="K41" s="1"/>
      <c r="L41" s="1"/>
      <c r="M41" s="1"/>
      <c r="N41" s="1"/>
      <c r="O41" s="1"/>
      <c r="P41" s="1"/>
      <c r="Q41" s="4"/>
      <c r="R41" s="4"/>
      <c r="S41" s="1"/>
      <c r="T41" s="1"/>
      <c r="U41" s="5"/>
      <c r="V41" s="5"/>
      <c r="W41" s="9"/>
      <c r="X41" s="241"/>
      <c r="Y41" s="1"/>
      <c r="Z41" s="5"/>
      <c r="AA41" s="239"/>
      <c r="AB41" s="239"/>
      <c r="AC41" s="240"/>
      <c r="AD41" s="3"/>
      <c r="AE41" s="1"/>
      <c r="AF41" s="1"/>
      <c r="AG41" s="1"/>
      <c r="AH41" s="1"/>
      <c r="AI41" s="1"/>
    </row>
    <row r="42" spans="1:35" x14ac:dyDescent="0.3">
      <c r="A42" s="1"/>
      <c r="B42" s="1"/>
      <c r="C42" s="2"/>
      <c r="D42" s="2"/>
      <c r="E42" s="2"/>
      <c r="F42" s="2"/>
      <c r="G42" s="3"/>
      <c r="H42" s="1"/>
      <c r="I42" s="1"/>
      <c r="J42" s="1"/>
      <c r="K42" s="1"/>
      <c r="L42" s="1"/>
      <c r="M42" s="1"/>
      <c r="N42" s="1"/>
      <c r="O42" s="1"/>
      <c r="P42" s="1"/>
      <c r="Q42" s="4"/>
      <c r="R42" s="4"/>
      <c r="S42" s="1"/>
      <c r="T42" s="1"/>
      <c r="U42" s="5"/>
      <c r="V42" s="5"/>
      <c r="W42" s="9"/>
      <c r="X42" s="241"/>
      <c r="Y42" s="1"/>
      <c r="Z42" s="5"/>
      <c r="AA42" s="239"/>
      <c r="AB42" s="239"/>
      <c r="AC42" s="240"/>
      <c r="AD42" s="3"/>
      <c r="AE42" s="1"/>
      <c r="AF42" s="1"/>
      <c r="AG42" s="1"/>
      <c r="AH42" s="1"/>
      <c r="AI42" s="1"/>
    </row>
    <row r="43" spans="1:35" x14ac:dyDescent="0.3">
      <c r="A43" s="1"/>
      <c r="B43" s="1"/>
      <c r="C43" s="2"/>
      <c r="D43" s="2"/>
      <c r="E43" s="2"/>
      <c r="F43" s="2"/>
      <c r="G43" s="3"/>
      <c r="H43" s="1"/>
      <c r="I43" s="1"/>
      <c r="J43" s="1"/>
      <c r="K43" s="1"/>
      <c r="L43" s="1"/>
      <c r="M43" s="1"/>
      <c r="N43" s="1"/>
      <c r="O43" s="1"/>
      <c r="P43" s="1"/>
      <c r="Q43" s="4"/>
      <c r="R43" s="4"/>
      <c r="S43" s="1"/>
      <c r="T43" s="1"/>
      <c r="U43" s="5"/>
      <c r="V43" s="5"/>
      <c r="W43" s="9"/>
      <c r="X43" s="241"/>
      <c r="Y43" s="1"/>
      <c r="Z43" s="5"/>
      <c r="AA43" s="239"/>
      <c r="AB43" s="239"/>
      <c r="AC43" s="240"/>
      <c r="AD43" s="3"/>
      <c r="AE43" s="1"/>
      <c r="AF43" s="1"/>
      <c r="AG43" s="1"/>
      <c r="AH43" s="1"/>
      <c r="AI43" s="1"/>
    </row>
    <row r="44" spans="1:35" x14ac:dyDescent="0.3">
      <c r="A44" s="1"/>
      <c r="B44" s="1"/>
      <c r="C44" s="242" t="s">
        <v>31</v>
      </c>
      <c r="D44" s="243"/>
      <c r="E44" s="243"/>
      <c r="F44" s="243"/>
      <c r="G44" s="244"/>
      <c r="H44" s="1"/>
      <c r="I44" s="245"/>
      <c r="J44" s="245"/>
      <c r="K44" s="246"/>
      <c r="L44" s="246"/>
      <c r="M44" s="246"/>
      <c r="N44" s="247"/>
      <c r="O44" s="248"/>
      <c r="P44" s="248"/>
      <c r="Q44" s="249"/>
      <c r="R44" s="249"/>
      <c r="S44" s="248"/>
      <c r="T44" s="248"/>
      <c r="U44" s="247"/>
      <c r="V44" s="247"/>
      <c r="W44" s="248"/>
      <c r="X44" s="241"/>
      <c r="Y44" s="1"/>
      <c r="Z44" s="5"/>
      <c r="AA44" s="239"/>
      <c r="AB44" s="239"/>
      <c r="AC44" s="240"/>
      <c r="AD44" s="3"/>
      <c r="AE44" s="1"/>
      <c r="AF44" s="1"/>
      <c r="AG44" s="1"/>
      <c r="AH44" s="1"/>
      <c r="AI44" s="1"/>
    </row>
    <row r="45" spans="1:35" x14ac:dyDescent="0.3">
      <c r="A45" s="1"/>
      <c r="B45" s="1"/>
      <c r="C45" s="250" t="s">
        <v>32</v>
      </c>
      <c r="D45" s="251"/>
      <c r="E45" s="251"/>
      <c r="F45" s="251"/>
      <c r="G45" s="252" t="s">
        <v>14</v>
      </c>
      <c r="H45" s="1"/>
      <c r="I45" s="1"/>
      <c r="J45" s="1"/>
      <c r="K45" s="1"/>
      <c r="L45" s="1"/>
      <c r="M45" s="1"/>
      <c r="N45" s="1"/>
      <c r="O45" s="1"/>
      <c r="P45" s="1"/>
      <c r="Q45" s="4"/>
      <c r="R45" s="4"/>
      <c r="S45" s="1"/>
      <c r="T45" s="1"/>
      <c r="U45" s="5"/>
      <c r="V45" s="5"/>
      <c r="W45" s="1"/>
      <c r="X45" s="241"/>
      <c r="Y45" s="1"/>
      <c r="Z45" s="5"/>
      <c r="AA45" s="239"/>
      <c r="AB45" s="239"/>
      <c r="AC45" s="240"/>
      <c r="AD45" s="3"/>
      <c r="AE45" s="1"/>
      <c r="AF45" s="1"/>
      <c r="AG45" s="1"/>
      <c r="AH45" s="1"/>
      <c r="AI45" s="1"/>
    </row>
    <row r="46" spans="1:35" x14ac:dyDescent="0.3">
      <c r="A46" s="1"/>
      <c r="B46" s="253"/>
      <c r="C46" s="254"/>
      <c r="D46" s="255"/>
      <c r="E46" s="255"/>
      <c r="F46" s="255"/>
      <c r="G46" s="255"/>
      <c r="H46" s="256"/>
      <c r="I46" s="256"/>
      <c r="J46" s="256"/>
      <c r="K46" s="256"/>
      <c r="L46" s="256"/>
      <c r="M46" s="256"/>
      <c r="N46" s="256"/>
      <c r="O46" s="256"/>
      <c r="P46" s="256"/>
      <c r="Q46" s="257"/>
      <c r="R46" s="257"/>
      <c r="S46" s="256"/>
      <c r="T46" s="256"/>
      <c r="U46" s="258"/>
      <c r="V46" s="258"/>
      <c r="W46" s="256"/>
      <c r="X46" s="259"/>
      <c r="Y46" s="1"/>
      <c r="Z46" s="5"/>
      <c r="AA46" s="239"/>
      <c r="AB46" s="239"/>
      <c r="AC46" s="240"/>
      <c r="AD46" s="3"/>
      <c r="AE46" s="1"/>
      <c r="AF46" s="1"/>
      <c r="AG46" s="1"/>
      <c r="AH46" s="1"/>
      <c r="AI46" s="1"/>
    </row>
    <row r="47" spans="1:35" x14ac:dyDescent="0.3">
      <c r="A47" s="1"/>
      <c r="B47" s="260">
        <f>SUM(G47:G49)</f>
        <v>0.33013230000000005</v>
      </c>
      <c r="C47" s="261" t="s">
        <v>33</v>
      </c>
      <c r="D47" s="261"/>
      <c r="E47" s="261"/>
      <c r="F47" s="261"/>
      <c r="G47" s="262">
        <f>Q47</f>
        <v>0.25453525397297921</v>
      </c>
      <c r="H47" s="1"/>
      <c r="I47" s="1"/>
      <c r="J47" s="1"/>
      <c r="K47" s="1"/>
      <c r="L47" s="1"/>
      <c r="M47" s="1"/>
      <c r="N47" s="1"/>
      <c r="O47" s="1"/>
      <c r="P47" s="1"/>
      <c r="Q47" s="4">
        <f>W47/W115</f>
        <v>0.25453525397297921</v>
      </c>
      <c r="R47" s="263" t="s">
        <v>34</v>
      </c>
      <c r="S47" s="264"/>
      <c r="T47" s="264"/>
      <c r="U47" s="37"/>
      <c r="V47" s="37"/>
      <c r="W47" s="265">
        <f>H24</f>
        <v>841750</v>
      </c>
      <c r="X47" s="266"/>
      <c r="Y47" s="1"/>
      <c r="Z47" s="5"/>
      <c r="AA47" s="239"/>
      <c r="AB47" s="239"/>
      <c r="AC47" s="240"/>
      <c r="AD47" s="3"/>
      <c r="AE47" s="1"/>
      <c r="AF47" s="1"/>
      <c r="AG47" s="1"/>
      <c r="AH47" s="1"/>
      <c r="AI47" s="1"/>
    </row>
    <row r="48" spans="1:35" x14ac:dyDescent="0.3">
      <c r="A48" s="1"/>
      <c r="B48" s="267"/>
      <c r="C48" s="261" t="s">
        <v>35</v>
      </c>
      <c r="D48" s="261"/>
      <c r="E48" s="261"/>
      <c r="F48" s="268"/>
      <c r="G48" s="262">
        <f>Q48</f>
        <v>7.5597046027020845E-2</v>
      </c>
      <c r="H48" s="1"/>
      <c r="I48" s="1"/>
      <c r="J48" s="1"/>
      <c r="K48" s="1"/>
      <c r="L48" s="1"/>
      <c r="M48" s="1"/>
      <c r="N48" s="1"/>
      <c r="O48" s="1"/>
      <c r="P48" s="1"/>
      <c r="Q48" s="269">
        <f>W48/W115</f>
        <v>7.5597046027020845E-2</v>
      </c>
      <c r="R48" s="263" t="s">
        <v>36</v>
      </c>
      <c r="S48" s="264"/>
      <c r="T48" s="264"/>
      <c r="U48" s="37"/>
      <c r="V48" s="270"/>
      <c r="W48" s="265">
        <f>H39</f>
        <v>250000</v>
      </c>
      <c r="X48" s="266"/>
      <c r="Y48" s="1"/>
      <c r="Z48" s="5"/>
      <c r="AA48" s="239"/>
      <c r="AB48" s="239"/>
      <c r="AC48" s="240"/>
      <c r="AD48" s="3"/>
      <c r="AE48" s="1"/>
      <c r="AF48" s="1"/>
      <c r="AG48" s="1"/>
      <c r="AH48" s="1"/>
      <c r="AI48" s="1"/>
    </row>
    <row r="49" spans="1:35" x14ac:dyDescent="0.3">
      <c r="A49" s="1"/>
      <c r="B49" s="271"/>
      <c r="C49" s="272"/>
      <c r="D49" s="272"/>
      <c r="E49" s="272"/>
      <c r="F49" s="272"/>
      <c r="G49" s="273"/>
      <c r="H49" s="274"/>
      <c r="I49" s="274"/>
      <c r="J49" s="274"/>
      <c r="K49" s="274"/>
      <c r="L49" s="274"/>
      <c r="M49" s="274"/>
      <c r="N49" s="274"/>
      <c r="O49" s="274"/>
      <c r="P49" s="274"/>
      <c r="Q49" s="275"/>
      <c r="R49" s="275"/>
      <c r="S49" s="274"/>
      <c r="T49" s="274"/>
      <c r="U49" s="276"/>
      <c r="V49" s="276"/>
      <c r="W49" s="274"/>
      <c r="X49" s="277"/>
      <c r="Y49" s="1"/>
      <c r="Z49" s="5"/>
      <c r="AA49" s="239"/>
      <c r="AB49" s="239"/>
      <c r="AC49" s="240"/>
      <c r="AD49" s="3"/>
      <c r="AE49" s="1"/>
      <c r="AF49" s="1"/>
      <c r="AG49" s="1"/>
      <c r="AH49" s="1"/>
      <c r="AI49" s="1"/>
    </row>
    <row r="50" spans="1:35" x14ac:dyDescent="0.3">
      <c r="A50" s="1"/>
      <c r="B50" s="1"/>
      <c r="C50" s="278"/>
      <c r="D50" s="261"/>
      <c r="E50" s="261"/>
      <c r="F50" s="261"/>
      <c r="G50" s="279"/>
      <c r="H50" s="1"/>
      <c r="I50" s="1"/>
      <c r="J50" s="1"/>
      <c r="K50" s="1"/>
      <c r="L50" s="1"/>
      <c r="M50" s="1"/>
      <c r="N50" s="1"/>
      <c r="O50" s="1"/>
      <c r="P50" s="1"/>
      <c r="Q50" s="4"/>
      <c r="R50" s="280" t="s">
        <v>37</v>
      </c>
      <c r="S50" s="281">
        <f>1-SUM(Q51:Q110)</f>
        <v>0.33013230000000005</v>
      </c>
      <c r="T50" s="281"/>
      <c r="U50" s="1"/>
      <c r="V50" s="282" t="s">
        <v>38</v>
      </c>
      <c r="W50" s="241">
        <f>SUM(W47:W48)</f>
        <v>1091750</v>
      </c>
      <c r="X50" s="241"/>
      <c r="Y50" s="1"/>
      <c r="Z50" s="5"/>
      <c r="AA50" s="239"/>
      <c r="AB50" s="239"/>
      <c r="AC50" s="240"/>
      <c r="AD50" s="3"/>
      <c r="AE50" s="1"/>
      <c r="AF50" s="1"/>
      <c r="AG50" s="1"/>
      <c r="AH50" s="1"/>
      <c r="AI50" s="1"/>
    </row>
    <row r="51" spans="1:35" x14ac:dyDescent="0.3">
      <c r="A51" s="1"/>
      <c r="B51" s="1"/>
      <c r="C51" s="278"/>
      <c r="D51" s="261"/>
      <c r="E51" s="261"/>
      <c r="F51" s="261"/>
      <c r="G51" s="279"/>
      <c r="H51" s="1"/>
      <c r="I51" s="1"/>
      <c r="J51" s="1"/>
      <c r="K51" s="1"/>
      <c r="L51" s="1"/>
      <c r="M51" s="1"/>
      <c r="N51" s="1"/>
      <c r="O51" s="1"/>
      <c r="P51" s="1"/>
      <c r="Q51" s="4"/>
      <c r="R51" s="4"/>
      <c r="S51" s="1"/>
      <c r="T51" s="1"/>
      <c r="U51" s="5"/>
      <c r="V51" s="5"/>
      <c r="W51" s="1"/>
      <c r="X51" s="241"/>
      <c r="Y51" s="1"/>
      <c r="Z51" s="5"/>
      <c r="AA51" s="239"/>
      <c r="AB51" s="239"/>
      <c r="AC51" s="240"/>
      <c r="AD51" s="3"/>
      <c r="AE51" s="1"/>
      <c r="AF51" s="1"/>
      <c r="AG51" s="1"/>
      <c r="AH51" s="1"/>
      <c r="AI51" s="1"/>
    </row>
    <row r="52" spans="1:35" x14ac:dyDescent="0.3">
      <c r="A52" s="1"/>
      <c r="B52" s="253"/>
      <c r="C52" s="283"/>
      <c r="D52" s="283"/>
      <c r="E52" s="283"/>
      <c r="F52" s="283"/>
      <c r="G52" s="284"/>
      <c r="H52" s="256"/>
      <c r="I52" s="256"/>
      <c r="J52" s="256"/>
      <c r="K52" s="256"/>
      <c r="L52" s="256"/>
      <c r="M52" s="256"/>
      <c r="N52" s="256"/>
      <c r="O52" s="256"/>
      <c r="P52" s="256"/>
      <c r="Q52" s="257"/>
      <c r="R52" s="257"/>
      <c r="S52" s="256"/>
      <c r="T52" s="256"/>
      <c r="U52" s="258"/>
      <c r="V52" s="258"/>
      <c r="W52" s="256"/>
      <c r="X52" s="259"/>
      <c r="Y52" s="1"/>
      <c r="Z52" s="5"/>
      <c r="AA52" s="239"/>
      <c r="AB52" s="239"/>
      <c r="AC52" s="240"/>
      <c r="AD52" s="3"/>
      <c r="AE52" s="1"/>
      <c r="AF52" s="1"/>
      <c r="AG52" s="1"/>
      <c r="AH52" s="1"/>
      <c r="AI52" s="1"/>
    </row>
    <row r="53" spans="1:35" x14ac:dyDescent="0.3">
      <c r="A53" s="1"/>
      <c r="B53" s="285">
        <f>SUM(G53:G56)</f>
        <v>0.22769999999999999</v>
      </c>
      <c r="C53" s="261" t="s">
        <v>39</v>
      </c>
      <c r="D53" s="261"/>
      <c r="E53" s="261"/>
      <c r="F53" s="286"/>
      <c r="G53" s="287">
        <v>6.2199999999999998E-2</v>
      </c>
      <c r="H53" s="1"/>
      <c r="I53" s="1"/>
      <c r="J53" s="1"/>
      <c r="K53" s="1"/>
      <c r="L53" s="1"/>
      <c r="M53" s="1"/>
      <c r="N53" s="1"/>
      <c r="O53" s="1"/>
      <c r="P53" s="1"/>
      <c r="Q53" s="4">
        <f>G53</f>
        <v>6.2199999999999998E-2</v>
      </c>
      <c r="R53" s="1" t="s">
        <v>40</v>
      </c>
      <c r="S53" s="1"/>
      <c r="T53" s="1"/>
      <c r="U53" s="5"/>
      <c r="V53" s="288"/>
      <c r="W53" s="241">
        <f>W115*Q53</f>
        <v>205695.86798989371</v>
      </c>
      <c r="X53" s="266"/>
      <c r="Y53" s="1"/>
      <c r="Z53" s="5"/>
      <c r="AA53" s="239"/>
      <c r="AB53" s="239"/>
      <c r="AC53" s="240"/>
      <c r="AD53" s="3"/>
      <c r="AE53" s="1"/>
      <c r="AF53" s="1"/>
      <c r="AG53" s="1"/>
      <c r="AH53" s="1"/>
      <c r="AI53" s="1"/>
    </row>
    <row r="54" spans="1:35" x14ac:dyDescent="0.3">
      <c r="A54" s="1"/>
      <c r="B54" s="289"/>
      <c r="C54" s="261" t="s">
        <v>41</v>
      </c>
      <c r="D54" s="261"/>
      <c r="E54" s="261"/>
      <c r="F54" s="286"/>
      <c r="G54" s="287">
        <v>0.10489999999999999</v>
      </c>
      <c r="H54" s="1"/>
      <c r="I54" s="1"/>
      <c r="J54" s="1"/>
      <c r="K54" s="1"/>
      <c r="L54" s="1"/>
      <c r="M54" s="1"/>
      <c r="N54" s="1"/>
      <c r="O54" s="1"/>
      <c r="P54" s="1"/>
      <c r="Q54" s="4">
        <f>G54</f>
        <v>0.10489999999999999</v>
      </c>
      <c r="R54" s="1" t="s">
        <v>42</v>
      </c>
      <c r="S54" s="1"/>
      <c r="T54" s="1"/>
      <c r="U54" s="5"/>
      <c r="V54" s="5"/>
      <c r="W54" s="241">
        <f>W115*Q54</f>
        <v>346905.08926269854</v>
      </c>
      <c r="X54" s="266"/>
      <c r="Y54" s="1"/>
      <c r="Z54" s="5"/>
      <c r="AA54" s="239"/>
      <c r="AB54" s="239"/>
      <c r="AC54" s="240"/>
      <c r="AD54" s="3"/>
      <c r="AE54" s="1"/>
      <c r="AF54" s="1"/>
      <c r="AG54" s="1"/>
      <c r="AH54" s="1"/>
      <c r="AI54" s="1"/>
    </row>
    <row r="55" spans="1:35" x14ac:dyDescent="0.3">
      <c r="A55" s="1"/>
      <c r="B55" s="289"/>
      <c r="C55" s="261" t="s">
        <v>43</v>
      </c>
      <c r="D55" s="261"/>
      <c r="E55" s="261"/>
      <c r="F55" s="261"/>
      <c r="G55" s="287">
        <v>0.06</v>
      </c>
      <c r="H55" s="1"/>
      <c r="I55" s="1"/>
      <c r="J55" s="1"/>
      <c r="K55" s="1"/>
      <c r="L55" s="1"/>
      <c r="M55" s="1"/>
      <c r="N55" s="1"/>
      <c r="O55" s="1"/>
      <c r="P55" s="1"/>
      <c r="Q55" s="4">
        <f>G55</f>
        <v>0.06</v>
      </c>
      <c r="R55" s="1" t="s">
        <v>44</v>
      </c>
      <c r="S55" s="1"/>
      <c r="T55" s="1"/>
      <c r="U55" s="5"/>
      <c r="V55" s="5"/>
      <c r="W55" s="241">
        <f>W115*Q55</f>
        <v>198420.45143719652</v>
      </c>
      <c r="X55" s="266"/>
      <c r="Y55" s="1"/>
      <c r="Z55" s="5"/>
      <c r="AA55" s="239"/>
      <c r="AB55" s="239"/>
      <c r="AC55" s="240"/>
      <c r="AD55" s="3"/>
      <c r="AE55" s="1"/>
      <c r="AF55" s="1"/>
      <c r="AG55" s="1"/>
      <c r="AH55" s="1"/>
      <c r="AI55" s="1"/>
    </row>
    <row r="56" spans="1:35" x14ac:dyDescent="0.3">
      <c r="A56" s="1"/>
      <c r="B56" s="289"/>
      <c r="C56" s="261" t="s">
        <v>45</v>
      </c>
      <c r="D56" s="261"/>
      <c r="E56" s="261"/>
      <c r="F56" s="261"/>
      <c r="G56" s="287">
        <v>5.9999999999999995E-4</v>
      </c>
      <c r="H56" s="1"/>
      <c r="I56" s="1"/>
      <c r="J56" s="1"/>
      <c r="K56" s="1"/>
      <c r="L56" s="1"/>
      <c r="M56" s="1"/>
      <c r="N56" s="1"/>
      <c r="O56" s="1"/>
      <c r="P56" s="1"/>
      <c r="Q56" s="4">
        <f>G56</f>
        <v>5.9999999999999995E-4</v>
      </c>
      <c r="R56" s="1" t="s">
        <v>46</v>
      </c>
      <c r="S56" s="1"/>
      <c r="T56" s="1"/>
      <c r="U56" s="5"/>
      <c r="V56" s="5"/>
      <c r="W56" s="241">
        <f>W115*Q56</f>
        <v>1984.2045143719649</v>
      </c>
      <c r="X56" s="266"/>
      <c r="Y56" s="1"/>
      <c r="Z56" s="5"/>
      <c r="AA56" s="239"/>
      <c r="AB56" s="239"/>
      <c r="AC56" s="240"/>
      <c r="AD56" s="3"/>
      <c r="AE56" s="1"/>
      <c r="AF56" s="1"/>
      <c r="AG56" s="1"/>
      <c r="AH56" s="1"/>
      <c r="AI56" s="1"/>
    </row>
    <row r="57" spans="1:35" x14ac:dyDescent="0.3">
      <c r="A57" s="1"/>
      <c r="B57" s="290"/>
      <c r="C57" s="272"/>
      <c r="D57" s="272"/>
      <c r="E57" s="272"/>
      <c r="F57" s="272"/>
      <c r="G57" s="273"/>
      <c r="H57" s="274"/>
      <c r="I57" s="274"/>
      <c r="J57" s="274"/>
      <c r="K57" s="274"/>
      <c r="L57" s="274"/>
      <c r="M57" s="274"/>
      <c r="N57" s="274"/>
      <c r="O57" s="274"/>
      <c r="P57" s="274"/>
      <c r="Q57" s="275"/>
      <c r="R57" s="274"/>
      <c r="S57" s="274"/>
      <c r="T57" s="274"/>
      <c r="U57" s="276"/>
      <c r="V57" s="276"/>
      <c r="W57" s="291"/>
      <c r="X57" s="277"/>
      <c r="Y57" s="1"/>
      <c r="Z57" s="5"/>
      <c r="AA57" s="239"/>
      <c r="AB57" s="239"/>
      <c r="AC57" s="240"/>
      <c r="AD57" s="3"/>
      <c r="AE57" s="1"/>
      <c r="AF57" s="1"/>
      <c r="AG57" s="1"/>
      <c r="AH57" s="1"/>
      <c r="AI57" s="1"/>
    </row>
    <row r="58" spans="1:35" x14ac:dyDescent="0.3">
      <c r="A58" s="1"/>
      <c r="B58" s="1"/>
      <c r="C58" s="278"/>
      <c r="D58" s="261"/>
      <c r="E58" s="261"/>
      <c r="F58" s="261"/>
      <c r="G58" s="292"/>
      <c r="H58" s="1"/>
      <c r="I58" s="1"/>
      <c r="J58" s="1"/>
      <c r="K58" s="1"/>
      <c r="L58" s="1"/>
      <c r="M58" s="1"/>
      <c r="N58" s="1"/>
      <c r="O58" s="1"/>
      <c r="P58" s="1"/>
      <c r="Q58" s="4"/>
      <c r="R58" s="4"/>
      <c r="S58" s="1"/>
      <c r="T58" s="1"/>
      <c r="U58" s="5"/>
      <c r="V58" s="5"/>
      <c r="W58" s="1"/>
      <c r="X58" s="241"/>
      <c r="Y58" s="1"/>
      <c r="Z58" s="5"/>
      <c r="AA58" s="239"/>
      <c r="AB58" s="239"/>
      <c r="AC58" s="240"/>
      <c r="AD58" s="3"/>
      <c r="AE58" s="1"/>
      <c r="AF58" s="1"/>
      <c r="AG58" s="1"/>
      <c r="AH58" s="1"/>
      <c r="AI58" s="1"/>
    </row>
    <row r="59" spans="1:35" x14ac:dyDescent="0.3">
      <c r="A59" s="1"/>
      <c r="B59" s="293">
        <f>G60</f>
        <v>0</v>
      </c>
      <c r="C59" s="283"/>
      <c r="D59" s="283"/>
      <c r="E59" s="283"/>
      <c r="F59" s="283"/>
      <c r="G59" s="284"/>
      <c r="H59" s="256"/>
      <c r="I59" s="256"/>
      <c r="J59" s="256"/>
      <c r="K59" s="256"/>
      <c r="L59" s="256"/>
      <c r="M59" s="256"/>
      <c r="N59" s="256"/>
      <c r="O59" s="256"/>
      <c r="P59" s="256"/>
      <c r="Q59" s="257"/>
      <c r="R59" s="257"/>
      <c r="S59" s="256"/>
      <c r="T59" s="256"/>
      <c r="U59" s="258"/>
      <c r="V59" s="258"/>
      <c r="W59" s="256"/>
      <c r="X59" s="259"/>
      <c r="Y59" s="1"/>
      <c r="Z59" s="5"/>
      <c r="AA59" s="239"/>
      <c r="AB59" s="239"/>
      <c r="AC59" s="240"/>
      <c r="AD59" s="3"/>
      <c r="AE59" s="1"/>
      <c r="AF59" s="1"/>
      <c r="AG59" s="1"/>
      <c r="AH59" s="1"/>
      <c r="AI59" s="1"/>
    </row>
    <row r="60" spans="1:35" x14ac:dyDescent="0.3">
      <c r="A60" s="1"/>
      <c r="B60" s="294"/>
      <c r="C60" s="278" t="s">
        <v>47</v>
      </c>
      <c r="D60" s="261"/>
      <c r="E60" s="261"/>
      <c r="F60" s="261"/>
      <c r="G60" s="287">
        <v>0</v>
      </c>
      <c r="H60" s="1"/>
      <c r="I60" s="295" t="s">
        <v>48</v>
      </c>
      <c r="J60" s="295" t="s">
        <v>48</v>
      </c>
      <c r="K60" s="295" t="s">
        <v>48</v>
      </c>
      <c r="L60" s="295"/>
      <c r="M60" s="295"/>
      <c r="N60" s="295" t="s">
        <v>48</v>
      </c>
      <c r="O60" s="296" t="s">
        <v>48</v>
      </c>
      <c r="P60" s="296"/>
      <c r="Q60" s="297">
        <f>G60</f>
        <v>0</v>
      </c>
      <c r="R60" s="248" t="s">
        <v>47</v>
      </c>
      <c r="S60" s="248"/>
      <c r="T60" s="248"/>
      <c r="U60" s="247"/>
      <c r="V60" s="247"/>
      <c r="W60" s="298">
        <f>W115*Q60</f>
        <v>0</v>
      </c>
      <c r="X60" s="266"/>
      <c r="Y60" s="1"/>
      <c r="Z60" s="5"/>
      <c r="AA60" s="239"/>
      <c r="AB60" s="239"/>
      <c r="AC60" s="240"/>
      <c r="AD60" s="3"/>
      <c r="AE60" s="1"/>
      <c r="AF60" s="1"/>
      <c r="AG60" s="1"/>
      <c r="AH60" s="1"/>
      <c r="AI60" s="1"/>
    </row>
    <row r="61" spans="1:35" x14ac:dyDescent="0.3">
      <c r="A61" s="1"/>
      <c r="B61" s="299"/>
      <c r="C61" s="272"/>
      <c r="D61" s="272"/>
      <c r="E61" s="272"/>
      <c r="F61" s="272"/>
      <c r="G61" s="300"/>
      <c r="H61" s="274"/>
      <c r="I61" s="274"/>
      <c r="J61" s="274"/>
      <c r="K61" s="274"/>
      <c r="L61" s="274"/>
      <c r="M61" s="274"/>
      <c r="N61" s="274"/>
      <c r="O61" s="301"/>
      <c r="P61" s="301"/>
      <c r="Q61" s="275"/>
      <c r="R61" s="275"/>
      <c r="S61" s="274"/>
      <c r="T61" s="274"/>
      <c r="U61" s="276"/>
      <c r="V61" s="276"/>
      <c r="W61" s="274"/>
      <c r="X61" s="277"/>
      <c r="Y61" s="1"/>
      <c r="Z61" s="5"/>
      <c r="AA61" s="239"/>
      <c r="AB61" s="239"/>
      <c r="AC61" s="240"/>
      <c r="AD61" s="3"/>
      <c r="AE61" s="1"/>
      <c r="AF61" s="1"/>
      <c r="AG61" s="1"/>
      <c r="AH61" s="1"/>
      <c r="AI61" s="1"/>
    </row>
    <row r="62" spans="1:35" x14ac:dyDescent="0.3">
      <c r="A62" s="1"/>
      <c r="B62" s="302"/>
      <c r="C62" s="261"/>
      <c r="D62" s="261"/>
      <c r="E62" s="261"/>
      <c r="F62" s="261"/>
      <c r="G62" s="303"/>
      <c r="H62" s="1"/>
      <c r="I62" s="1"/>
      <c r="J62" s="1"/>
      <c r="K62" s="1"/>
      <c r="L62" s="1"/>
      <c r="M62" s="1"/>
      <c r="N62" s="1"/>
      <c r="O62" s="304"/>
      <c r="P62" s="304"/>
      <c r="Q62" s="4"/>
      <c r="R62" s="4"/>
      <c r="S62" s="1"/>
      <c r="T62" s="1"/>
      <c r="U62" s="5"/>
      <c r="V62" s="5"/>
      <c r="W62" s="1"/>
      <c r="X62" s="241"/>
      <c r="Y62" s="1"/>
      <c r="Z62" s="5"/>
      <c r="AA62" s="239"/>
      <c r="AB62" s="239"/>
      <c r="AC62" s="240"/>
      <c r="AD62" s="3"/>
      <c r="AE62" s="1"/>
      <c r="AF62" s="1"/>
      <c r="AG62" s="1"/>
      <c r="AH62" s="1"/>
      <c r="AI62" s="1"/>
    </row>
    <row r="63" spans="1:35" x14ac:dyDescent="0.3">
      <c r="A63" s="1"/>
      <c r="B63" s="293">
        <f>SUM(G64)</f>
        <v>0.06</v>
      </c>
      <c r="C63" s="283"/>
      <c r="D63" s="283"/>
      <c r="E63" s="283"/>
      <c r="F63" s="283"/>
      <c r="G63" s="305"/>
      <c r="H63" s="256"/>
      <c r="I63" s="256"/>
      <c r="J63" s="256"/>
      <c r="K63" s="256"/>
      <c r="L63" s="256"/>
      <c r="M63" s="256"/>
      <c r="N63" s="256"/>
      <c r="O63" s="256"/>
      <c r="P63" s="256"/>
      <c r="Q63" s="257"/>
      <c r="R63" s="257"/>
      <c r="S63" s="256"/>
      <c r="T63" s="256"/>
      <c r="U63" s="258"/>
      <c r="V63" s="258"/>
      <c r="W63" s="256"/>
      <c r="X63" s="259"/>
      <c r="Y63" s="1"/>
      <c r="Z63" s="5"/>
      <c r="AA63" s="239"/>
      <c r="AB63" s="239"/>
      <c r="AC63" s="240"/>
      <c r="AD63" s="3"/>
      <c r="AE63" s="1"/>
      <c r="AF63" s="1"/>
      <c r="AG63" s="1"/>
      <c r="AH63" s="1"/>
      <c r="AI63" s="1"/>
    </row>
    <row r="64" spans="1:35" x14ac:dyDescent="0.3">
      <c r="A64" s="1"/>
      <c r="B64" s="294"/>
      <c r="C64" s="306" t="s">
        <v>49</v>
      </c>
      <c r="D64" s="306"/>
      <c r="E64" s="306"/>
      <c r="F64" s="306"/>
      <c r="G64" s="307">
        <v>0.06</v>
      </c>
      <c r="H64" s="1"/>
      <c r="I64" s="295" t="s">
        <v>48</v>
      </c>
      <c r="J64" s="295" t="s">
        <v>48</v>
      </c>
      <c r="K64" s="295" t="s">
        <v>48</v>
      </c>
      <c r="L64" s="295"/>
      <c r="M64" s="295"/>
      <c r="N64" s="295" t="s">
        <v>48</v>
      </c>
      <c r="O64" s="296" t="s">
        <v>48</v>
      </c>
      <c r="P64" s="296"/>
      <c r="Q64" s="297">
        <f>G64</f>
        <v>0.06</v>
      </c>
      <c r="R64" s="248" t="s">
        <v>50</v>
      </c>
      <c r="S64" s="248"/>
      <c r="T64" s="248"/>
      <c r="U64" s="247"/>
      <c r="V64" s="247"/>
      <c r="W64" s="298">
        <f>W115*Q64</f>
        <v>198420.45143719652</v>
      </c>
      <c r="X64" s="266"/>
      <c r="Y64" s="1"/>
      <c r="Z64" s="308"/>
      <c r="AA64" s="308"/>
      <c r="AB64" s="239"/>
      <c r="AC64" s="240"/>
      <c r="AD64" s="3"/>
      <c r="AE64" s="1"/>
      <c r="AF64" s="1"/>
      <c r="AG64" s="1"/>
      <c r="AH64" s="1"/>
      <c r="AI64" s="1"/>
    </row>
    <row r="65" spans="1:35" x14ac:dyDescent="0.3">
      <c r="A65" s="1"/>
      <c r="B65" s="299"/>
      <c r="C65" s="272"/>
      <c r="D65" s="272"/>
      <c r="E65" s="272"/>
      <c r="F65" s="272"/>
      <c r="G65" s="309"/>
      <c r="H65" s="274"/>
      <c r="I65" s="274"/>
      <c r="J65" s="274"/>
      <c r="K65" s="274"/>
      <c r="L65" s="274"/>
      <c r="M65" s="274"/>
      <c r="N65" s="274"/>
      <c r="O65" s="301"/>
      <c r="P65" s="301"/>
      <c r="Q65" s="275"/>
      <c r="R65" s="275"/>
      <c r="S65" s="274"/>
      <c r="T65" s="274"/>
      <c r="U65" s="276"/>
      <c r="V65" s="276"/>
      <c r="W65" s="274"/>
      <c r="X65" s="277"/>
      <c r="Y65" s="1"/>
      <c r="Z65" s="5"/>
      <c r="AA65" s="239"/>
      <c r="AB65" s="239"/>
      <c r="AC65" s="240"/>
      <c r="AD65" s="3"/>
      <c r="AE65" s="1"/>
      <c r="AF65" s="1"/>
      <c r="AG65" s="1"/>
      <c r="AH65" s="1"/>
      <c r="AI65" s="1"/>
    </row>
    <row r="66" spans="1:35" x14ac:dyDescent="0.3">
      <c r="A66" s="1"/>
      <c r="B66" s="1"/>
      <c r="C66" s="278"/>
      <c r="D66" s="261"/>
      <c r="E66" s="261"/>
      <c r="F66" s="261"/>
      <c r="G66" s="279"/>
      <c r="H66" s="1"/>
      <c r="I66" s="1"/>
      <c r="J66" s="1"/>
      <c r="K66" s="1"/>
      <c r="L66" s="1"/>
      <c r="M66" s="1"/>
      <c r="N66" s="1"/>
      <c r="O66" s="304"/>
      <c r="P66" s="304"/>
      <c r="Q66" s="4"/>
      <c r="R66" s="4"/>
      <c r="S66" s="1"/>
      <c r="T66" s="1"/>
      <c r="U66" s="5"/>
      <c r="V66" s="5"/>
      <c r="W66" s="1"/>
      <c r="X66" s="241"/>
      <c r="Y66" s="1"/>
      <c r="Z66" s="5"/>
      <c r="AA66" s="239"/>
      <c r="AB66" s="239"/>
      <c r="AC66" s="240"/>
      <c r="AD66" s="3"/>
      <c r="AE66" s="1"/>
      <c r="AF66" s="1"/>
      <c r="AG66" s="1"/>
      <c r="AH66" s="1"/>
      <c r="AI66" s="1"/>
    </row>
    <row r="67" spans="1:35" x14ac:dyDescent="0.3">
      <c r="A67" s="1"/>
      <c r="B67" s="310">
        <f>SUM(G68)</f>
        <v>0.12</v>
      </c>
      <c r="C67" s="283"/>
      <c r="D67" s="283"/>
      <c r="E67" s="283"/>
      <c r="F67" s="283"/>
      <c r="G67" s="284"/>
      <c r="H67" s="256"/>
      <c r="I67" s="256"/>
      <c r="J67" s="256"/>
      <c r="K67" s="256"/>
      <c r="L67" s="256"/>
      <c r="M67" s="256"/>
      <c r="N67" s="256"/>
      <c r="O67" s="311"/>
      <c r="P67" s="311"/>
      <c r="Q67" s="257"/>
      <c r="R67" s="257"/>
      <c r="S67" s="256"/>
      <c r="T67" s="256"/>
      <c r="U67" s="258"/>
      <c r="V67" s="258"/>
      <c r="W67" s="256"/>
      <c r="X67" s="259"/>
      <c r="Y67" s="1"/>
      <c r="Z67" s="5"/>
      <c r="AA67" s="239"/>
      <c r="AB67" s="239"/>
      <c r="AC67" s="240"/>
      <c r="AD67" s="3"/>
      <c r="AE67" s="1"/>
      <c r="AF67" s="1"/>
      <c r="AG67" s="1"/>
      <c r="AH67" s="1"/>
      <c r="AI67" s="1"/>
    </row>
    <row r="68" spans="1:35" x14ac:dyDescent="0.3">
      <c r="A68" s="1"/>
      <c r="B68" s="312"/>
      <c r="C68" s="306" t="s">
        <v>51</v>
      </c>
      <c r="D68" s="306"/>
      <c r="E68" s="306"/>
      <c r="F68" s="313"/>
      <c r="G68" s="314">
        <v>0.12</v>
      </c>
      <c r="H68" s="1"/>
      <c r="I68" s="295" t="s">
        <v>48</v>
      </c>
      <c r="J68" s="295" t="s">
        <v>48</v>
      </c>
      <c r="K68" s="295" t="s">
        <v>48</v>
      </c>
      <c r="L68" s="295"/>
      <c r="M68" s="295"/>
      <c r="N68" s="295" t="s">
        <v>48</v>
      </c>
      <c r="O68" s="315" t="s">
        <v>48</v>
      </c>
      <c r="P68" s="315"/>
      <c r="Q68" s="316">
        <f>G68</f>
        <v>0.12</v>
      </c>
      <c r="R68" s="1" t="s">
        <v>52</v>
      </c>
      <c r="S68" s="1"/>
      <c r="T68" s="1"/>
      <c r="U68" s="5"/>
      <c r="V68" s="5"/>
      <c r="W68" s="241">
        <f>W115*Q68</f>
        <v>396840.90287439304</v>
      </c>
      <c r="X68" s="266"/>
      <c r="Y68" s="1"/>
      <c r="Z68" s="5"/>
      <c r="AA68" s="239"/>
      <c r="AB68" s="239"/>
      <c r="AC68" s="240"/>
      <c r="AD68" s="3"/>
      <c r="AE68" s="1"/>
      <c r="AF68" s="1"/>
      <c r="AG68" s="1"/>
      <c r="AH68" s="1"/>
      <c r="AI68" s="1"/>
    </row>
    <row r="69" spans="1:35" x14ac:dyDescent="0.3">
      <c r="A69" s="1"/>
      <c r="B69" s="317"/>
      <c r="C69" s="272"/>
      <c r="D69" s="272"/>
      <c r="E69" s="272"/>
      <c r="F69" s="272"/>
      <c r="G69" s="273"/>
      <c r="H69" s="274"/>
      <c r="I69" s="274"/>
      <c r="J69" s="274"/>
      <c r="K69" s="274"/>
      <c r="L69" s="274"/>
      <c r="M69" s="274"/>
      <c r="N69" s="274"/>
      <c r="O69" s="301"/>
      <c r="P69" s="301"/>
      <c r="Q69" s="275"/>
      <c r="R69" s="275"/>
      <c r="S69" s="274"/>
      <c r="T69" s="274"/>
      <c r="U69" s="276"/>
      <c r="V69" s="276"/>
      <c r="W69" s="274"/>
      <c r="X69" s="277"/>
      <c r="Y69" s="1"/>
      <c r="Z69" s="5"/>
      <c r="AA69" s="239"/>
      <c r="AB69" s="239"/>
      <c r="AC69" s="240"/>
      <c r="AD69" s="3"/>
      <c r="AE69" s="1"/>
      <c r="AF69" s="1"/>
      <c r="AG69" s="1"/>
      <c r="AH69" s="1"/>
      <c r="AI69" s="1"/>
    </row>
    <row r="70" spans="1:35" x14ac:dyDescent="0.3">
      <c r="A70" s="1"/>
      <c r="B70" s="1"/>
      <c r="C70" s="2"/>
      <c r="D70" s="2"/>
      <c r="E70" s="2"/>
      <c r="F70" s="2"/>
      <c r="G70" s="318"/>
      <c r="H70" s="1"/>
      <c r="I70" s="1"/>
      <c r="J70" s="1"/>
      <c r="K70" s="1"/>
      <c r="L70" s="1"/>
      <c r="M70" s="1"/>
      <c r="N70" s="1"/>
      <c r="O70" s="1"/>
      <c r="P70" s="1"/>
      <c r="Q70" s="4"/>
      <c r="R70" s="4"/>
      <c r="S70" s="1"/>
      <c r="T70" s="1"/>
      <c r="U70" s="5"/>
      <c r="V70" s="5"/>
      <c r="W70" s="1"/>
      <c r="X70" s="241"/>
      <c r="Y70" s="1"/>
      <c r="Z70" s="5"/>
      <c r="AA70" s="239"/>
      <c r="AB70" s="239"/>
      <c r="AC70" s="240"/>
      <c r="AD70" s="3"/>
      <c r="AE70" s="1"/>
      <c r="AF70" s="1"/>
      <c r="AG70" s="1"/>
      <c r="AH70" s="1"/>
      <c r="AI70" s="1"/>
    </row>
    <row r="71" spans="1:35" x14ac:dyDescent="0.3">
      <c r="A71" s="1"/>
      <c r="B71" s="1"/>
      <c r="C71" s="319"/>
      <c r="D71" s="320"/>
      <c r="E71" s="320"/>
      <c r="F71" s="320"/>
      <c r="G71" s="321"/>
      <c r="H71" s="256"/>
      <c r="I71" s="256"/>
      <c r="J71" s="256"/>
      <c r="K71" s="256"/>
      <c r="L71" s="256"/>
      <c r="M71" s="256"/>
      <c r="N71" s="256"/>
      <c r="O71" s="256"/>
      <c r="P71" s="256"/>
      <c r="Q71" s="257"/>
      <c r="R71" s="257"/>
      <c r="S71" s="256"/>
      <c r="T71" s="256"/>
      <c r="U71" s="258"/>
      <c r="V71" s="258"/>
      <c r="W71" s="256"/>
      <c r="X71" s="259"/>
      <c r="Y71" s="1"/>
      <c r="Z71" s="5"/>
      <c r="AA71" s="239"/>
      <c r="AB71" s="239"/>
      <c r="AC71" s="7"/>
      <c r="AD71" s="3"/>
      <c r="AE71" s="1"/>
      <c r="AF71" s="1"/>
      <c r="AG71" s="1"/>
      <c r="AH71" s="1"/>
      <c r="AI71" s="1"/>
    </row>
    <row r="72" spans="1:35" x14ac:dyDescent="0.3">
      <c r="A72" s="1"/>
      <c r="B72" s="1"/>
      <c r="C72" s="1"/>
      <c r="D72" s="1"/>
      <c r="E72" s="1"/>
      <c r="F72" s="1"/>
      <c r="G72" s="1"/>
      <c r="H72" s="1"/>
      <c r="I72" s="322" t="s">
        <v>53</v>
      </c>
      <c r="J72" s="323"/>
      <c r="K72" s="323"/>
      <c r="L72" s="323"/>
      <c r="M72" s="323"/>
      <c r="N72" s="324" t="s">
        <v>54</v>
      </c>
      <c r="O72" s="325"/>
      <c r="P72" s="325"/>
      <c r="Q72" s="4"/>
      <c r="R72" s="4"/>
      <c r="S72" s="1"/>
      <c r="T72" s="1"/>
      <c r="U72" s="5"/>
      <c r="V72" s="5"/>
      <c r="W72" s="1"/>
      <c r="X72" s="266"/>
      <c r="Y72" s="1"/>
      <c r="Z72" s="5"/>
      <c r="AA72" s="239"/>
      <c r="AB72" s="239"/>
      <c r="AC72" s="7"/>
      <c r="AD72" s="3"/>
      <c r="AE72" s="1"/>
      <c r="AF72" s="1"/>
      <c r="AG72" s="1"/>
      <c r="AH72" s="1"/>
      <c r="AI72" s="1"/>
    </row>
    <row r="73" spans="1:35" x14ac:dyDescent="0.3">
      <c r="A73" s="1"/>
      <c r="B73" s="1"/>
      <c r="C73" s="1"/>
      <c r="D73" s="1"/>
      <c r="E73" s="1"/>
      <c r="F73" s="1"/>
      <c r="G73" s="1"/>
      <c r="H73" s="1"/>
      <c r="I73" s="326" t="s">
        <v>55</v>
      </c>
      <c r="J73" s="327"/>
      <c r="K73" s="328">
        <f>W68</f>
        <v>396840.90287439304</v>
      </c>
      <c r="L73" s="328"/>
      <c r="M73" s="329"/>
      <c r="N73" s="330" t="s">
        <v>56</v>
      </c>
      <c r="O73" s="325"/>
      <c r="P73" s="325"/>
      <c r="Q73" s="4"/>
      <c r="R73" s="4"/>
      <c r="S73" s="1"/>
      <c r="T73" s="1"/>
      <c r="U73" s="5"/>
      <c r="V73" s="5"/>
      <c r="W73" s="1"/>
      <c r="X73" s="266"/>
      <c r="Y73" s="1"/>
      <c r="Z73" s="5"/>
      <c r="AA73" s="239"/>
      <c r="AB73" s="239"/>
      <c r="AC73" s="7"/>
      <c r="AD73" s="3"/>
      <c r="AE73" s="1"/>
      <c r="AF73" s="1"/>
      <c r="AG73" s="1"/>
      <c r="AH73" s="1"/>
      <c r="AI73" s="1"/>
    </row>
    <row r="74" spans="1:35" x14ac:dyDescent="0.3">
      <c r="A74" s="1"/>
      <c r="B74" s="1"/>
      <c r="C74" s="1"/>
      <c r="D74" s="1"/>
      <c r="E74" s="1"/>
      <c r="F74" s="1"/>
      <c r="G74" s="1"/>
      <c r="H74" s="1"/>
      <c r="I74" s="331" t="s">
        <v>57</v>
      </c>
      <c r="J74" s="332">
        <v>0.09</v>
      </c>
      <c r="K74" s="333">
        <f>K73*J74</f>
        <v>35715.681258695375</v>
      </c>
      <c r="L74" s="333"/>
      <c r="M74" s="334"/>
      <c r="N74" s="335">
        <f>K74/W115</f>
        <v>1.0800000000000001E-2</v>
      </c>
      <c r="O74" s="296" t="s">
        <v>48</v>
      </c>
      <c r="P74" s="296"/>
      <c r="Q74" s="336">
        <v>1.0800000000000001E-2</v>
      </c>
      <c r="R74" s="337" t="s">
        <v>57</v>
      </c>
      <c r="S74" s="248"/>
      <c r="T74" s="248"/>
      <c r="U74" s="247"/>
      <c r="V74" s="247"/>
      <c r="W74" s="298">
        <f>W115*Q74</f>
        <v>35715.681258695375</v>
      </c>
      <c r="X74" s="266"/>
      <c r="Y74" s="1"/>
      <c r="Z74" s="5"/>
      <c r="AA74" s="239"/>
      <c r="AB74" s="239"/>
      <c r="AC74" s="7"/>
      <c r="AD74" s="3"/>
      <c r="AE74" s="1"/>
      <c r="AF74" s="1"/>
      <c r="AG74" s="1"/>
      <c r="AH74" s="1"/>
      <c r="AI74" s="1"/>
    </row>
    <row r="75" spans="1:35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4"/>
      <c r="R75" s="4"/>
      <c r="S75" s="1"/>
      <c r="T75" s="1"/>
      <c r="U75" s="5"/>
      <c r="V75" s="5"/>
      <c r="W75" s="1"/>
      <c r="X75" s="266"/>
      <c r="Y75" s="1"/>
      <c r="Z75" s="5"/>
      <c r="AA75" s="239"/>
      <c r="AB75" s="239"/>
      <c r="AC75" s="7"/>
      <c r="AD75" s="3"/>
      <c r="AE75" s="1"/>
      <c r="AF75" s="1"/>
      <c r="AG75" s="1"/>
      <c r="AH75" s="1"/>
      <c r="AI75" s="1"/>
    </row>
    <row r="76" spans="1:35" x14ac:dyDescent="0.3">
      <c r="A76" s="1"/>
      <c r="B76" s="338">
        <f>SUM(G76:G80)</f>
        <v>3.3542700000000002E-2</v>
      </c>
      <c r="C76" s="339" t="s">
        <v>57</v>
      </c>
      <c r="D76" s="283"/>
      <c r="E76" s="283"/>
      <c r="F76" s="283"/>
      <c r="G76" s="340">
        <f>Q74</f>
        <v>1.0800000000000001E-2</v>
      </c>
      <c r="H76" s="1"/>
      <c r="I76" s="341" t="s">
        <v>58</v>
      </c>
      <c r="J76" s="342"/>
      <c r="K76" s="342"/>
      <c r="L76" s="342"/>
      <c r="M76" s="342"/>
      <c r="N76" s="343"/>
      <c r="O76" s="1"/>
      <c r="P76" s="1"/>
      <c r="Q76" s="4"/>
      <c r="R76" s="4"/>
      <c r="S76" s="1"/>
      <c r="T76" s="1"/>
      <c r="U76" s="5"/>
      <c r="V76" s="5"/>
      <c r="W76" s="1"/>
      <c r="X76" s="241"/>
      <c r="Y76" s="1"/>
      <c r="Z76" s="5"/>
      <c r="AA76" s="239"/>
      <c r="AB76" s="239"/>
      <c r="AC76" s="240"/>
      <c r="AD76" s="3"/>
      <c r="AE76" s="1"/>
      <c r="AF76" s="1"/>
      <c r="AG76" s="1"/>
      <c r="AH76" s="1"/>
      <c r="AI76" s="1"/>
    </row>
    <row r="77" spans="1:35" x14ac:dyDescent="0.3">
      <c r="A77" s="1"/>
      <c r="B77" s="344"/>
      <c r="C77" s="261"/>
      <c r="D77" s="261"/>
      <c r="E77" s="261"/>
      <c r="F77" s="261"/>
      <c r="G77" s="345"/>
      <c r="H77" s="1"/>
      <c r="I77" s="346" t="s">
        <v>59</v>
      </c>
      <c r="J77" s="325"/>
      <c r="K77" s="325"/>
      <c r="L77" s="325"/>
      <c r="M77" s="325"/>
      <c r="N77" s="347" t="s">
        <v>54</v>
      </c>
      <c r="O77" s="325"/>
      <c r="P77" s="325"/>
      <c r="Q77" s="4"/>
      <c r="R77" s="4"/>
      <c r="S77" s="1"/>
      <c r="T77" s="1"/>
      <c r="U77" s="5"/>
      <c r="V77" s="5"/>
      <c r="W77" s="1"/>
      <c r="X77" s="266"/>
      <c r="Y77" s="1"/>
      <c r="Z77" s="5"/>
      <c r="AA77" s="239"/>
      <c r="AB77" s="239"/>
      <c r="AC77" s="240"/>
      <c r="AD77" s="3"/>
      <c r="AE77" s="1"/>
      <c r="AF77" s="1"/>
      <c r="AG77" s="1"/>
      <c r="AH77" s="1"/>
      <c r="AI77" s="1"/>
    </row>
    <row r="78" spans="1:35" x14ac:dyDescent="0.3">
      <c r="A78" s="1"/>
      <c r="B78" s="344"/>
      <c r="C78" s="348" t="s">
        <v>60</v>
      </c>
      <c r="D78" s="261"/>
      <c r="E78" s="261"/>
      <c r="F78" s="261"/>
      <c r="G78" s="349">
        <f>N79</f>
        <v>1.7999999999999999E-2</v>
      </c>
      <c r="H78" s="1"/>
      <c r="I78" s="350" t="s">
        <v>55</v>
      </c>
      <c r="J78" s="351"/>
      <c r="K78" s="328">
        <f>W68</f>
        <v>396840.90287439304</v>
      </c>
      <c r="L78" s="328"/>
      <c r="M78" s="329"/>
      <c r="N78" s="330" t="s">
        <v>56</v>
      </c>
      <c r="O78" s="325"/>
      <c r="P78" s="325"/>
      <c r="Q78" s="4"/>
      <c r="R78" s="4"/>
      <c r="S78" s="1"/>
      <c r="T78" s="1"/>
      <c r="U78" s="5"/>
      <c r="V78" s="5"/>
      <c r="W78" s="1"/>
      <c r="X78" s="266"/>
      <c r="Y78" s="1"/>
      <c r="Z78" s="5"/>
      <c r="AA78" s="239"/>
      <c r="AB78" s="239"/>
      <c r="AC78" s="240"/>
      <c r="AD78" s="3"/>
      <c r="AE78" s="1"/>
      <c r="AF78" s="1"/>
      <c r="AG78" s="1"/>
      <c r="AH78" s="1"/>
      <c r="AI78" s="1"/>
    </row>
    <row r="79" spans="1:35" x14ac:dyDescent="0.3">
      <c r="A79" s="1"/>
      <c r="B79" s="344"/>
      <c r="C79" s="352"/>
      <c r="D79" s="352"/>
      <c r="E79" s="352"/>
      <c r="F79" s="352"/>
      <c r="G79" s="352"/>
      <c r="H79" s="1"/>
      <c r="I79" s="353" t="s">
        <v>60</v>
      </c>
      <c r="J79" s="354">
        <v>0.15</v>
      </c>
      <c r="K79" s="355">
        <f>K78*J79</f>
        <v>59526.135431158953</v>
      </c>
      <c r="L79" s="355"/>
      <c r="M79" s="356"/>
      <c r="N79" s="357">
        <f>K79/W115</f>
        <v>1.7999999999999999E-2</v>
      </c>
      <c r="O79" s="358" t="s">
        <v>48</v>
      </c>
      <c r="P79" s="296"/>
      <c r="Q79" s="359">
        <v>1.7999999999999999E-2</v>
      </c>
      <c r="R79" s="360" t="s">
        <v>60</v>
      </c>
      <c r="S79" s="361"/>
      <c r="T79" s="361"/>
      <c r="U79" s="362"/>
      <c r="V79" s="362"/>
      <c r="W79" s="363">
        <f>W115*Q79</f>
        <v>59526.135431158953</v>
      </c>
      <c r="X79" s="266"/>
      <c r="Y79" s="1"/>
      <c r="Z79" s="5"/>
      <c r="AA79" s="239"/>
      <c r="AB79" s="239"/>
      <c r="AC79" s="240"/>
      <c r="AD79" s="3"/>
      <c r="AE79" s="1"/>
      <c r="AF79" s="1"/>
      <c r="AG79" s="1"/>
      <c r="AH79" s="1"/>
      <c r="AI79" s="1"/>
    </row>
    <row r="80" spans="1:35" x14ac:dyDescent="0.3">
      <c r="A80" s="1"/>
      <c r="B80" s="344"/>
      <c r="C80" s="364" t="s">
        <v>61</v>
      </c>
      <c r="D80" s="272"/>
      <c r="E80" s="272"/>
      <c r="F80" s="272"/>
      <c r="G80" s="365">
        <f>Q84</f>
        <v>4.7426999999999999E-3</v>
      </c>
      <c r="H80" s="1"/>
      <c r="I80" s="1"/>
      <c r="J80" s="1"/>
      <c r="K80" s="1"/>
      <c r="L80" s="1"/>
      <c r="M80" s="1"/>
      <c r="N80" s="1"/>
      <c r="O80" s="1"/>
      <c r="P80" s="1"/>
      <c r="Q80" s="4"/>
      <c r="R80" s="4"/>
      <c r="S80" s="1"/>
      <c r="T80" s="1"/>
      <c r="U80" s="5"/>
      <c r="V80" s="5"/>
      <c r="W80" s="1"/>
      <c r="X80" s="266"/>
      <c r="Y80" s="1"/>
      <c r="Z80" s="5"/>
      <c r="AA80" s="239"/>
      <c r="AB80" s="239"/>
      <c r="AC80" s="240"/>
      <c r="AD80" s="3"/>
      <c r="AE80" s="1"/>
      <c r="AF80" s="1"/>
      <c r="AG80" s="1"/>
      <c r="AH80" s="1"/>
      <c r="AI80" s="1"/>
    </row>
    <row r="81" spans="1:35" x14ac:dyDescent="0.3">
      <c r="A81" s="1"/>
      <c r="B81" s="1"/>
      <c r="C81" s="366"/>
      <c r="D81" s="2"/>
      <c r="E81" s="367"/>
      <c r="F81" s="368"/>
      <c r="G81" s="368"/>
      <c r="H81" s="1"/>
      <c r="I81" s="369" t="s">
        <v>62</v>
      </c>
      <c r="J81" s="370"/>
      <c r="K81" s="371"/>
      <c r="L81" s="371"/>
      <c r="M81" s="371"/>
      <c r="N81" s="372"/>
      <c r="O81" s="1"/>
      <c r="P81" s="1"/>
      <c r="Q81" s="4"/>
      <c r="R81" s="4"/>
      <c r="S81" s="1"/>
      <c r="T81" s="1"/>
      <c r="U81" s="5"/>
      <c r="V81" s="5"/>
      <c r="W81" s="1"/>
      <c r="X81" s="266"/>
      <c r="Y81" s="1"/>
      <c r="Z81" s="5"/>
      <c r="AA81" s="239"/>
      <c r="AB81" s="239"/>
      <c r="AC81" s="240"/>
      <c r="AD81" s="3"/>
      <c r="AE81" s="1"/>
      <c r="AF81" s="1"/>
      <c r="AG81" s="1"/>
      <c r="AH81" s="1"/>
      <c r="AI81" s="1"/>
    </row>
    <row r="82" spans="1:35" x14ac:dyDescent="0.3">
      <c r="A82" s="1"/>
      <c r="B82" s="1"/>
      <c r="C82" s="366"/>
      <c r="D82" s="2"/>
      <c r="E82" s="367"/>
      <c r="F82" s="368"/>
      <c r="G82" s="368"/>
      <c r="H82" s="1"/>
      <c r="I82" s="373">
        <f>W68</f>
        <v>396840.90287439304</v>
      </c>
      <c r="J82" s="374" t="s">
        <v>55</v>
      </c>
      <c r="K82" s="375"/>
      <c r="L82" s="375"/>
      <c r="M82" s="375"/>
      <c r="N82" s="376"/>
      <c r="O82" s="1"/>
      <c r="P82" s="1"/>
      <c r="Q82" s="4"/>
      <c r="R82" s="4"/>
      <c r="S82" s="1"/>
      <c r="T82" s="1"/>
      <c r="U82" s="5"/>
      <c r="V82" s="5"/>
      <c r="W82" s="1"/>
      <c r="X82" s="266"/>
      <c r="Y82" s="1"/>
      <c r="Z82" s="5"/>
      <c r="AA82" s="239"/>
      <c r="AB82" s="239"/>
      <c r="AC82" s="240"/>
      <c r="AD82" s="3"/>
      <c r="AE82" s="1"/>
      <c r="AF82" s="1"/>
      <c r="AG82" s="1"/>
      <c r="AH82" s="1"/>
      <c r="AI82" s="1"/>
    </row>
    <row r="83" spans="1:35" x14ac:dyDescent="0.3">
      <c r="A83" s="1"/>
      <c r="B83" s="1"/>
      <c r="C83" s="366"/>
      <c r="D83" s="2"/>
      <c r="E83" s="367"/>
      <c r="F83" s="1"/>
      <c r="G83" s="1"/>
      <c r="H83" s="377" t="s">
        <v>63</v>
      </c>
      <c r="I83" s="378">
        <v>240000</v>
      </c>
      <c r="J83" s="379"/>
      <c r="K83" s="380">
        <v>0.1</v>
      </c>
      <c r="L83" s="380"/>
      <c r="M83" s="380"/>
      <c r="N83" s="381" t="s">
        <v>54</v>
      </c>
      <c r="O83" s="1"/>
      <c r="P83" s="1"/>
      <c r="Q83" s="4"/>
      <c r="R83" s="4"/>
      <c r="S83" s="1"/>
      <c r="T83" s="1"/>
      <c r="U83" s="5"/>
      <c r="V83" s="5"/>
      <c r="W83" s="1"/>
      <c r="X83" s="266"/>
      <c r="Y83" s="1"/>
      <c r="Z83" s="5"/>
      <c r="AA83" s="239"/>
      <c r="AB83" s="239"/>
      <c r="AC83" s="240"/>
      <c r="AD83" s="3"/>
      <c r="AE83" s="1"/>
      <c r="AF83" s="1"/>
      <c r="AG83" s="1"/>
      <c r="AH83" s="1"/>
      <c r="AI83" s="1"/>
    </row>
    <row r="84" spans="1:35" x14ac:dyDescent="0.3">
      <c r="A84" s="1"/>
      <c r="B84" s="1"/>
      <c r="C84" s="382"/>
      <c r="D84" s="374"/>
      <c r="E84" s="374"/>
      <c r="F84" s="383"/>
      <c r="G84" s="384"/>
      <c r="H84" s="304"/>
      <c r="I84" s="385">
        <f>I82-I83</f>
        <v>156840.90287439304</v>
      </c>
      <c r="J84" s="386" t="s">
        <v>64</v>
      </c>
      <c r="K84" s="387">
        <f>I84*K83</f>
        <v>15684.090287439305</v>
      </c>
      <c r="L84" s="387"/>
      <c r="M84" s="388"/>
      <c r="N84" s="389">
        <f>IF(OR(K84&lt;0,W115=0),0,K84/W115)</f>
        <v>4.742683581405999E-3</v>
      </c>
      <c r="O84" s="358" t="s">
        <v>48</v>
      </c>
      <c r="P84" s="296"/>
      <c r="Q84" s="336">
        <v>4.7426999999999999E-3</v>
      </c>
      <c r="R84" s="337" t="s">
        <v>65</v>
      </c>
      <c r="S84" s="248"/>
      <c r="T84" s="248"/>
      <c r="U84" s="247"/>
      <c r="V84" s="247"/>
      <c r="W84" s="298">
        <f>W115*Q84</f>
        <v>15684.144583853198</v>
      </c>
      <c r="X84" s="266"/>
      <c r="Y84" s="1"/>
      <c r="Z84" s="5"/>
      <c r="AA84" s="239"/>
      <c r="AB84" s="239"/>
      <c r="AC84" s="240"/>
      <c r="AD84" s="3"/>
      <c r="AE84" s="1"/>
      <c r="AF84" s="1"/>
      <c r="AG84" s="1"/>
      <c r="AH84" s="1"/>
      <c r="AI84" s="1"/>
    </row>
    <row r="85" spans="1:35" x14ac:dyDescent="0.3">
      <c r="A85" s="1"/>
      <c r="B85" s="1"/>
      <c r="C85" s="390"/>
      <c r="D85" s="391"/>
      <c r="E85" s="391"/>
      <c r="F85" s="391"/>
      <c r="G85" s="392"/>
      <c r="H85" s="274"/>
      <c r="I85" s="274"/>
      <c r="J85" s="274"/>
      <c r="K85" s="274"/>
      <c r="L85" s="274"/>
      <c r="M85" s="274"/>
      <c r="N85" s="274"/>
      <c r="O85" s="274"/>
      <c r="P85" s="274"/>
      <c r="Q85" s="275"/>
      <c r="R85" s="275"/>
      <c r="S85" s="274"/>
      <c r="T85" s="274"/>
      <c r="U85" s="276"/>
      <c r="V85" s="276"/>
      <c r="W85" s="274"/>
      <c r="X85" s="277"/>
      <c r="Y85" s="1"/>
      <c r="Z85" s="5"/>
      <c r="AA85" s="239"/>
      <c r="AB85" s="239"/>
      <c r="AC85" s="240"/>
      <c r="AD85" s="3"/>
      <c r="AE85" s="1"/>
      <c r="AF85" s="1"/>
      <c r="AG85" s="1"/>
      <c r="AH85" s="1"/>
      <c r="AI85" s="1"/>
    </row>
    <row r="86" spans="1:35" x14ac:dyDescent="0.3">
      <c r="A86" s="1"/>
      <c r="B86" s="1"/>
      <c r="C86" s="2"/>
      <c r="D86" s="2"/>
      <c r="E86" s="2"/>
      <c r="F86" s="2"/>
      <c r="G86" s="3"/>
      <c r="H86" s="1"/>
      <c r="I86" s="1"/>
      <c r="J86" s="1"/>
      <c r="K86" s="1"/>
      <c r="L86" s="1"/>
      <c r="M86" s="1"/>
      <c r="N86" s="1"/>
      <c r="O86" s="1"/>
      <c r="P86" s="1"/>
      <c r="Q86" s="4"/>
      <c r="R86" s="4"/>
      <c r="S86" s="1"/>
      <c r="T86" s="1"/>
      <c r="U86" s="5"/>
      <c r="V86" s="5"/>
      <c r="W86" s="1"/>
      <c r="X86" s="241"/>
      <c r="Y86" s="1"/>
      <c r="Z86" s="5"/>
      <c r="AA86" s="239"/>
      <c r="AB86" s="239"/>
      <c r="AC86" s="240"/>
      <c r="AD86" s="3"/>
      <c r="AE86" s="1"/>
      <c r="AF86" s="1"/>
      <c r="AG86" s="1"/>
      <c r="AH86" s="1"/>
      <c r="AI86" s="1"/>
    </row>
    <row r="87" spans="1:35" x14ac:dyDescent="0.3">
      <c r="A87" s="1"/>
      <c r="B87" s="1"/>
      <c r="C87" s="2"/>
      <c r="D87" s="2"/>
      <c r="E87" s="2"/>
      <c r="F87" s="2"/>
      <c r="G87" s="3"/>
      <c r="H87" s="1"/>
      <c r="I87" s="1"/>
      <c r="J87" s="1"/>
      <c r="K87" s="1"/>
      <c r="L87" s="1"/>
      <c r="M87" s="1"/>
      <c r="N87" s="1"/>
      <c r="O87" s="1"/>
      <c r="P87" s="1"/>
      <c r="Q87" s="4"/>
      <c r="R87" s="4"/>
      <c r="S87" s="1"/>
      <c r="T87" s="1"/>
      <c r="U87" s="5"/>
      <c r="V87" s="5"/>
      <c r="W87" s="1"/>
      <c r="X87" s="241"/>
      <c r="Y87" s="1"/>
      <c r="Z87" s="5"/>
      <c r="AA87" s="239"/>
      <c r="AB87" s="239"/>
      <c r="AC87" s="240"/>
      <c r="AD87" s="3"/>
      <c r="AE87" s="1"/>
      <c r="AF87" s="1"/>
      <c r="AG87" s="1"/>
      <c r="AH87" s="1"/>
      <c r="AI87" s="1"/>
    </row>
    <row r="88" spans="1:35" x14ac:dyDescent="0.3">
      <c r="A88" s="1"/>
      <c r="B88" s="1"/>
      <c r="C88" s="2"/>
      <c r="D88" s="2"/>
      <c r="E88" s="2"/>
      <c r="F88" s="2"/>
      <c r="G88" s="3"/>
      <c r="H88" s="1"/>
      <c r="I88" s="1"/>
      <c r="J88" s="1"/>
      <c r="K88" s="1"/>
      <c r="L88" s="1"/>
      <c r="M88" s="1"/>
      <c r="N88" s="1"/>
      <c r="O88" s="2"/>
      <c r="P88" s="2"/>
      <c r="Q88" s="1"/>
      <c r="R88" s="1"/>
      <c r="S88" s="1"/>
      <c r="T88" s="1"/>
      <c r="U88" s="1"/>
      <c r="V88" s="1"/>
      <c r="W88" s="1"/>
      <c r="X88" s="241"/>
      <c r="Y88" s="1"/>
      <c r="Z88" s="5"/>
      <c r="AA88" s="239"/>
      <c r="AB88" s="239"/>
      <c r="AC88" s="240"/>
      <c r="AD88" s="3"/>
      <c r="AE88" s="1"/>
      <c r="AF88" s="1"/>
      <c r="AG88" s="1"/>
      <c r="AH88" s="1"/>
      <c r="AI88" s="1"/>
    </row>
    <row r="89" spans="1:35" x14ac:dyDescent="0.3">
      <c r="A89" s="1"/>
      <c r="B89" s="1"/>
      <c r="C89" s="2"/>
      <c r="D89" s="2"/>
      <c r="E89" s="2"/>
      <c r="F89" s="2"/>
      <c r="G89" s="3"/>
      <c r="H89" s="1"/>
      <c r="I89" s="8" t="s">
        <v>66</v>
      </c>
      <c r="J89" s="8"/>
      <c r="K89" s="8"/>
      <c r="L89" s="8"/>
      <c r="M89" s="8"/>
      <c r="N89" s="8"/>
      <c r="O89" s="1"/>
      <c r="P89" s="1"/>
      <c r="Q89" s="1"/>
      <c r="R89" s="1"/>
      <c r="S89" s="1"/>
      <c r="T89" s="1"/>
      <c r="U89" s="1"/>
      <c r="V89" s="1"/>
      <c r="W89" s="1"/>
      <c r="X89" s="241"/>
      <c r="Y89" s="1"/>
      <c r="Z89" s="5"/>
      <c r="AA89" s="239"/>
      <c r="AB89" s="239"/>
      <c r="AC89" s="240"/>
      <c r="AD89" s="3"/>
      <c r="AE89" s="1"/>
      <c r="AF89" s="1"/>
      <c r="AG89" s="1"/>
      <c r="AH89" s="1"/>
      <c r="AI89" s="1"/>
    </row>
    <row r="90" spans="1:35" x14ac:dyDescent="0.3">
      <c r="A90" s="1"/>
      <c r="B90" s="1"/>
      <c r="C90" s="393" t="s">
        <v>67</v>
      </c>
      <c r="D90" s="394"/>
      <c r="E90" s="2"/>
      <c r="F90" s="395"/>
      <c r="G90" s="395"/>
      <c r="H90" s="1"/>
      <c r="I90" s="396" t="s">
        <v>68</v>
      </c>
      <c r="J90" s="397"/>
      <c r="K90" s="398" t="s">
        <v>69</v>
      </c>
      <c r="L90" s="398"/>
      <c r="M90" s="398"/>
      <c r="N90" s="399">
        <f>IF(C92="x",W115,"")</f>
        <v>3307007.5239532753</v>
      </c>
      <c r="O90" s="400"/>
      <c r="P90" s="1"/>
      <c r="Q90" s="1"/>
      <c r="R90" s="1"/>
      <c r="S90" s="1"/>
      <c r="T90" s="1"/>
      <c r="U90" s="1"/>
      <c r="V90" s="1"/>
      <c r="W90" s="1"/>
      <c r="X90" s="241"/>
      <c r="Y90" s="1"/>
      <c r="Z90" s="5"/>
      <c r="AA90" s="239"/>
      <c r="AB90" s="239"/>
      <c r="AC90" s="240"/>
      <c r="AD90" s="3"/>
      <c r="AE90" s="1"/>
      <c r="AF90" s="1"/>
      <c r="AG90" s="1"/>
      <c r="AH90" s="1"/>
      <c r="AI90" s="1"/>
    </row>
    <row r="91" spans="1:35" x14ac:dyDescent="0.3">
      <c r="A91" s="1"/>
      <c r="B91" s="1"/>
      <c r="C91" s="401"/>
      <c r="D91" s="402"/>
      <c r="E91" s="2"/>
      <c r="F91" s="395"/>
      <c r="G91" s="395"/>
      <c r="H91" s="1"/>
      <c r="I91" s="403" t="s">
        <v>70</v>
      </c>
      <c r="J91" s="379"/>
      <c r="K91" s="404"/>
      <c r="L91" s="405"/>
      <c r="M91" s="406">
        <v>0.15</v>
      </c>
      <c r="N91" s="407"/>
      <c r="O91" s="1"/>
      <c r="P91" s="1"/>
      <c r="Q91" s="1"/>
      <c r="R91" s="1"/>
      <c r="S91" s="1"/>
      <c r="T91" s="1"/>
      <c r="U91" s="1"/>
      <c r="V91" s="1"/>
      <c r="W91" s="1"/>
      <c r="X91" s="241"/>
      <c r="Y91" s="1"/>
      <c r="Z91" s="5"/>
      <c r="AA91" s="239"/>
      <c r="AB91" s="239"/>
      <c r="AC91" s="240"/>
      <c r="AD91" s="3"/>
      <c r="AE91" s="1"/>
      <c r="AF91" s="1"/>
      <c r="AG91" s="1"/>
      <c r="AH91" s="1"/>
      <c r="AI91" s="1"/>
    </row>
    <row r="92" spans="1:35" x14ac:dyDescent="0.3">
      <c r="A92" s="1"/>
      <c r="B92" s="1"/>
      <c r="C92" s="408" t="s">
        <v>17</v>
      </c>
      <c r="D92" s="409"/>
      <c r="E92" s="2"/>
      <c r="F92" s="410"/>
      <c r="G92" s="410"/>
      <c r="H92" s="1"/>
      <c r="I92" s="411"/>
      <c r="J92" s="1"/>
      <c r="K92" s="1"/>
      <c r="L92" s="412"/>
      <c r="M92" s="1"/>
      <c r="N92" s="376"/>
      <c r="O92" s="1"/>
      <c r="P92" s="1"/>
      <c r="Q92" s="1"/>
      <c r="R92" s="1"/>
      <c r="S92" s="1"/>
      <c r="T92" s="1"/>
      <c r="U92" s="1"/>
      <c r="V92" s="1"/>
      <c r="W92" s="1"/>
      <c r="X92" s="241"/>
      <c r="Y92" s="1"/>
      <c r="Z92" s="5"/>
      <c r="AA92" s="239"/>
      <c r="AB92" s="239"/>
      <c r="AC92" s="240"/>
      <c r="AD92" s="3"/>
      <c r="AE92" s="1"/>
      <c r="AF92" s="1"/>
      <c r="AG92" s="1"/>
      <c r="AH92" s="1"/>
      <c r="AI92" s="1"/>
    </row>
    <row r="93" spans="1:35" x14ac:dyDescent="0.3">
      <c r="A93" s="1"/>
      <c r="B93" s="1"/>
      <c r="C93" s="413"/>
      <c r="D93" s="414"/>
      <c r="E93" s="2"/>
      <c r="F93" s="410"/>
      <c r="G93" s="410"/>
      <c r="H93" s="1"/>
      <c r="I93" s="403" t="s">
        <v>71</v>
      </c>
      <c r="J93" s="379"/>
      <c r="K93" s="379"/>
      <c r="L93" s="379"/>
      <c r="M93" s="415">
        <f>M91*(1-L92)</f>
        <v>0.15</v>
      </c>
      <c r="N93" s="416"/>
      <c r="O93" s="296" t="s">
        <v>48</v>
      </c>
      <c r="P93" s="296"/>
      <c r="Q93" s="417">
        <f>IF(C92="x",M93,"0")</f>
        <v>0.15</v>
      </c>
      <c r="R93" s="337" t="s">
        <v>72</v>
      </c>
      <c r="S93" s="248"/>
      <c r="T93" s="248"/>
      <c r="U93" s="247"/>
      <c r="V93" s="247"/>
      <c r="W93" s="418">
        <f>W115*Q93</f>
        <v>496051.12859299127</v>
      </c>
      <c r="X93" s="241"/>
      <c r="Y93" s="1"/>
      <c r="Z93" s="5"/>
      <c r="AA93" s="239"/>
      <c r="AB93" s="239"/>
      <c r="AC93" s="240"/>
      <c r="AD93" s="3"/>
      <c r="AE93" s="1"/>
      <c r="AF93" s="1"/>
      <c r="AG93" s="1"/>
      <c r="AH93" s="1"/>
      <c r="AI93" s="1"/>
    </row>
    <row r="94" spans="1:35" x14ac:dyDescent="0.3">
      <c r="A94" s="1"/>
      <c r="B94" s="1"/>
      <c r="C94" s="2"/>
      <c r="D94" s="2"/>
      <c r="E94" s="2"/>
      <c r="F94" s="2"/>
      <c r="G94" s="3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241"/>
      <c r="Y94" s="1"/>
      <c r="Z94" s="5"/>
      <c r="AA94" s="239"/>
      <c r="AB94" s="239"/>
      <c r="AC94" s="240"/>
      <c r="AD94" s="3"/>
      <c r="AE94" s="1"/>
      <c r="AF94" s="1"/>
      <c r="AG94" s="1"/>
      <c r="AH94" s="1"/>
      <c r="AI94" s="1"/>
    </row>
    <row r="95" spans="1:35" x14ac:dyDescent="0.3">
      <c r="A95" s="1"/>
      <c r="B95" s="1"/>
      <c r="C95" s="2"/>
      <c r="D95" s="2"/>
      <c r="E95" s="2"/>
      <c r="F95" s="2"/>
      <c r="G95" s="3"/>
      <c r="H95" s="1"/>
      <c r="I95" s="1"/>
      <c r="J95" s="1"/>
      <c r="K95" s="1"/>
      <c r="L95" s="1"/>
      <c r="M95" s="1"/>
      <c r="N95" s="1"/>
      <c r="O95" s="1"/>
      <c r="P95" s="1"/>
      <c r="Q95" s="4"/>
      <c r="R95" s="4"/>
      <c r="S95" s="1"/>
      <c r="T95" s="1"/>
      <c r="U95" s="5"/>
      <c r="V95" s="5"/>
      <c r="W95" s="1"/>
      <c r="X95" s="241"/>
      <c r="Y95" s="1"/>
      <c r="Z95" s="5"/>
      <c r="AA95" s="239"/>
      <c r="AB95" s="239"/>
      <c r="AC95" s="240"/>
      <c r="AD95" s="3"/>
      <c r="AE95" s="1"/>
      <c r="AF95" s="1"/>
      <c r="AG95" s="1"/>
      <c r="AH95" s="1"/>
      <c r="AI95" s="1"/>
    </row>
    <row r="96" spans="1:35" x14ac:dyDescent="0.3">
      <c r="A96" s="1"/>
      <c r="B96" s="1"/>
      <c r="C96" s="2"/>
      <c r="D96" s="2"/>
      <c r="E96" s="2"/>
      <c r="F96" s="2"/>
      <c r="G96" s="3"/>
      <c r="H96" s="1"/>
      <c r="I96" s="419" t="s">
        <v>73</v>
      </c>
      <c r="J96" s="419"/>
      <c r="K96" s="419"/>
      <c r="L96" s="419"/>
      <c r="M96" s="419"/>
      <c r="N96" s="419"/>
      <c r="O96" s="2"/>
      <c r="P96" s="1"/>
      <c r="Q96" s="1"/>
      <c r="R96" s="1"/>
      <c r="S96" s="1"/>
      <c r="T96" s="1"/>
      <c r="U96" s="1"/>
      <c r="V96" s="1"/>
      <c r="W96" s="1"/>
      <c r="X96" s="241"/>
      <c r="Y96" s="1"/>
      <c r="Z96" s="5"/>
      <c r="AA96" s="239"/>
      <c r="AB96" s="239"/>
      <c r="AC96" s="240"/>
      <c r="AD96" s="3"/>
      <c r="AE96" s="1"/>
      <c r="AF96" s="1"/>
      <c r="AG96" s="1"/>
      <c r="AH96" s="1"/>
      <c r="AI96" s="1"/>
    </row>
    <row r="97" spans="1:35" x14ac:dyDescent="0.3">
      <c r="A97" s="1"/>
      <c r="B97" s="1"/>
      <c r="C97" s="393" t="s">
        <v>67</v>
      </c>
      <c r="D97" s="394"/>
      <c r="E97" s="2"/>
      <c r="F97" s="420"/>
      <c r="G97" s="420"/>
      <c r="H97" s="1"/>
      <c r="I97" s="421" t="s">
        <v>68</v>
      </c>
      <c r="J97" s="422"/>
      <c r="K97" s="423"/>
      <c r="L97" s="397"/>
      <c r="M97" s="397"/>
      <c r="N97" s="424">
        <f>IF(C99="x",W115,"")</f>
        <v>3307007.5239532753</v>
      </c>
      <c r="O97" s="2"/>
      <c r="P97" s="1"/>
      <c r="Q97" s="1"/>
      <c r="R97" s="1"/>
      <c r="S97" s="1"/>
      <c r="T97" s="1"/>
      <c r="U97" s="1"/>
      <c r="V97" s="1"/>
      <c r="W97" s="1"/>
      <c r="X97" s="241"/>
      <c r="Y97" s="1"/>
      <c r="Z97" s="5"/>
      <c r="AA97" s="239"/>
      <c r="AB97" s="239"/>
      <c r="AC97" s="240"/>
      <c r="AD97" s="3"/>
      <c r="AE97" s="1"/>
      <c r="AF97" s="1"/>
      <c r="AG97" s="1"/>
      <c r="AH97" s="1"/>
      <c r="AI97" s="1"/>
    </row>
    <row r="98" spans="1:35" x14ac:dyDescent="0.3">
      <c r="A98" s="1"/>
      <c r="B98" s="1"/>
      <c r="C98" s="401"/>
      <c r="D98" s="402"/>
      <c r="E98" s="2"/>
      <c r="F98" s="420"/>
      <c r="G98" s="420"/>
      <c r="H98" s="1"/>
      <c r="I98" s="425" t="s">
        <v>74</v>
      </c>
      <c r="J98" s="245"/>
      <c r="K98" s="245"/>
      <c r="L98" s="426"/>
      <c r="M98" s="245"/>
      <c r="N98" s="427">
        <f>W93</f>
        <v>496051.12859299127</v>
      </c>
      <c r="O98" s="1"/>
      <c r="P98" s="1"/>
      <c r="Q98" s="4"/>
      <c r="R98" s="4"/>
      <c r="S98" s="1"/>
      <c r="T98" s="1"/>
      <c r="U98" s="5"/>
      <c r="V98" s="5"/>
      <c r="W98" s="1"/>
      <c r="X98" s="241"/>
      <c r="Y98" s="1"/>
      <c r="Z98" s="5"/>
      <c r="AA98" s="239"/>
      <c r="AB98" s="239"/>
      <c r="AC98" s="240"/>
      <c r="AD98" s="3"/>
      <c r="AE98" s="1"/>
      <c r="AF98" s="1"/>
      <c r="AG98" s="1"/>
      <c r="AH98" s="1"/>
      <c r="AI98" s="1"/>
    </row>
    <row r="99" spans="1:35" x14ac:dyDescent="0.3">
      <c r="A99" s="1"/>
      <c r="B99" s="1"/>
      <c r="C99" s="408" t="s">
        <v>17</v>
      </c>
      <c r="D99" s="409"/>
      <c r="E99" s="2"/>
      <c r="F99" s="410"/>
      <c r="G99" s="410"/>
      <c r="H99" s="1"/>
      <c r="I99" s="428" t="s">
        <v>75</v>
      </c>
      <c r="J99" s="429"/>
      <c r="K99" s="429"/>
      <c r="L99" s="429"/>
      <c r="M99" s="429"/>
      <c r="N99" s="430">
        <f>N97-N98</f>
        <v>2810956.395360284</v>
      </c>
      <c r="O99" s="1"/>
      <c r="P99" s="1"/>
      <c r="Q99" s="1"/>
      <c r="R99" s="1"/>
      <c r="S99" s="1"/>
      <c r="T99" s="1"/>
      <c r="U99" s="1"/>
      <c r="V99" s="1"/>
      <c r="W99" s="1"/>
      <c r="X99" s="241"/>
      <c r="Y99" s="1"/>
      <c r="Z99" s="5"/>
      <c r="AA99" s="239"/>
      <c r="AB99" s="239"/>
      <c r="AC99" s="240"/>
      <c r="AD99" s="3"/>
      <c r="AE99" s="1"/>
      <c r="AF99" s="1"/>
      <c r="AG99" s="1"/>
      <c r="AH99" s="1"/>
      <c r="AI99" s="1"/>
    </row>
    <row r="100" spans="1:35" x14ac:dyDescent="0.3">
      <c r="A100" s="1"/>
      <c r="B100" s="1"/>
      <c r="C100" s="413"/>
      <c r="D100" s="414"/>
      <c r="E100" s="2"/>
      <c r="F100" s="410"/>
      <c r="G100" s="410"/>
      <c r="H100" s="1"/>
      <c r="I100" s="431" t="s">
        <v>70</v>
      </c>
      <c r="J100" s="432"/>
      <c r="K100" s="245"/>
      <c r="L100" s="433"/>
      <c r="M100" s="434">
        <v>9.2499999999999999E-2</v>
      </c>
      <c r="N100" s="435"/>
      <c r="O100" s="1"/>
      <c r="P100" s="1"/>
      <c r="Q100" s="4"/>
      <c r="R100" s="4"/>
      <c r="S100" s="1"/>
      <c r="T100" s="1"/>
      <c r="U100" s="5"/>
      <c r="V100" s="5"/>
      <c r="W100" s="1"/>
      <c r="X100" s="241"/>
      <c r="Y100" s="1"/>
      <c r="Z100" s="5"/>
      <c r="AA100" s="239"/>
      <c r="AB100" s="239"/>
      <c r="AC100" s="240"/>
      <c r="AD100" s="3"/>
      <c r="AE100" s="1"/>
      <c r="AF100" s="1"/>
      <c r="AG100" s="1"/>
      <c r="AH100" s="1"/>
      <c r="AI100" s="1"/>
    </row>
    <row r="101" spans="1:35" x14ac:dyDescent="0.3">
      <c r="A101" s="1"/>
      <c r="B101" s="1"/>
      <c r="C101" s="2"/>
      <c r="D101" s="2"/>
      <c r="E101" s="2"/>
      <c r="F101" s="2"/>
      <c r="G101" s="3"/>
      <c r="H101" s="1"/>
      <c r="I101" s="428" t="s">
        <v>18</v>
      </c>
      <c r="J101" s="436"/>
      <c r="K101" s="436"/>
      <c r="L101" s="436"/>
      <c r="M101" s="436"/>
      <c r="N101" s="430">
        <f>N99*M100</f>
        <v>260013.46657082628</v>
      </c>
      <c r="O101" s="1"/>
      <c r="P101" s="1"/>
      <c r="Q101" s="1"/>
      <c r="R101" s="1"/>
      <c r="S101" s="1"/>
      <c r="T101" s="1"/>
      <c r="U101" s="1"/>
      <c r="V101" s="1"/>
      <c r="W101" s="1"/>
      <c r="X101" s="241"/>
      <c r="Y101" s="1"/>
      <c r="Z101" s="5"/>
      <c r="AA101" s="239"/>
      <c r="AB101" s="239"/>
      <c r="AC101" s="240"/>
      <c r="AD101" s="3"/>
      <c r="AE101" s="1"/>
      <c r="AF101" s="1"/>
      <c r="AG101" s="1"/>
      <c r="AH101" s="1"/>
      <c r="AI101" s="1"/>
    </row>
    <row r="102" spans="1:35" x14ac:dyDescent="0.3">
      <c r="A102" s="1"/>
      <c r="B102" s="1"/>
      <c r="C102" s="2"/>
      <c r="D102" s="2"/>
      <c r="E102" s="2"/>
      <c r="F102" s="2"/>
      <c r="G102" s="3"/>
      <c r="H102" s="1"/>
      <c r="I102" s="437"/>
      <c r="J102" s="2"/>
      <c r="K102" s="2"/>
      <c r="L102" s="2"/>
      <c r="M102" s="2"/>
      <c r="N102" s="438" t="s">
        <v>54</v>
      </c>
      <c r="O102" s="1"/>
      <c r="P102" s="1"/>
      <c r="Q102" s="1"/>
      <c r="R102" s="1"/>
      <c r="S102" s="1"/>
      <c r="T102" s="1"/>
      <c r="U102" s="1"/>
      <c r="V102" s="1"/>
      <c r="W102" s="1"/>
      <c r="X102" s="241"/>
      <c r="Y102" s="1"/>
      <c r="Z102" s="5"/>
      <c r="AA102" s="239"/>
      <c r="AB102" s="239"/>
      <c r="AC102" s="240"/>
      <c r="AD102" s="3"/>
      <c r="AE102" s="1"/>
      <c r="AF102" s="1"/>
      <c r="AG102" s="1"/>
      <c r="AH102" s="1"/>
      <c r="AI102" s="1"/>
    </row>
    <row r="103" spans="1:35" x14ac:dyDescent="0.3">
      <c r="A103" s="1"/>
      <c r="B103" s="1"/>
      <c r="C103" s="2"/>
      <c r="D103" s="2"/>
      <c r="E103" s="2"/>
      <c r="F103" s="2"/>
      <c r="G103" s="3"/>
      <c r="H103" s="1"/>
      <c r="I103" s="431" t="s">
        <v>71</v>
      </c>
      <c r="J103" s="245"/>
      <c r="K103" s="245"/>
      <c r="L103" s="245"/>
      <c r="M103" s="439"/>
      <c r="N103" s="440">
        <f>N101/W115</f>
        <v>7.8625E-2</v>
      </c>
      <c r="O103" s="296" t="s">
        <v>48</v>
      </c>
      <c r="P103" s="296"/>
      <c r="Q103" s="336">
        <v>7.8625E-2</v>
      </c>
      <c r="R103" s="337" t="s">
        <v>76</v>
      </c>
      <c r="S103" s="248"/>
      <c r="T103" s="248"/>
      <c r="U103" s="247"/>
      <c r="V103" s="247"/>
      <c r="W103" s="363">
        <f>IF(C99="x",W115*Q103,"")</f>
        <v>260013.46657082628</v>
      </c>
      <c r="X103" s="241"/>
      <c r="Y103" s="1"/>
      <c r="Z103" s="5"/>
      <c r="AA103" s="239"/>
      <c r="AB103" s="239"/>
      <c r="AC103" s="240"/>
      <c r="AD103" s="3"/>
      <c r="AE103" s="1"/>
      <c r="AF103" s="1"/>
      <c r="AG103" s="1"/>
      <c r="AH103" s="1"/>
      <c r="AI103" s="1"/>
    </row>
    <row r="104" spans="1:35" x14ac:dyDescent="0.3">
      <c r="A104" s="1"/>
      <c r="B104" s="1"/>
      <c r="C104" s="2"/>
      <c r="D104" s="2"/>
      <c r="E104" s="2"/>
      <c r="F104" s="2"/>
      <c r="G104" s="3"/>
      <c r="H104" s="1"/>
      <c r="I104" s="1"/>
      <c r="J104" s="1"/>
      <c r="K104" s="1"/>
      <c r="L104" s="1"/>
      <c r="M104" s="1"/>
      <c r="N104" s="1"/>
      <c r="O104" s="1"/>
      <c r="P104" s="1"/>
      <c r="Q104" s="4"/>
      <c r="R104" s="4"/>
      <c r="S104" s="1"/>
      <c r="T104" s="1"/>
      <c r="U104" s="5"/>
      <c r="V104" s="5"/>
      <c r="W104" s="1"/>
      <c r="X104" s="241"/>
      <c r="Y104" s="1"/>
      <c r="Z104" s="5"/>
      <c r="AA104" s="239"/>
      <c r="AB104" s="239"/>
      <c r="AC104" s="240"/>
      <c r="AD104" s="3"/>
      <c r="AE104" s="1"/>
      <c r="AF104" s="1"/>
      <c r="AG104" s="1"/>
      <c r="AH104" s="1"/>
      <c r="AI104" s="1"/>
    </row>
    <row r="105" spans="1:35" x14ac:dyDescent="0.3">
      <c r="A105" s="1"/>
      <c r="B105" s="223"/>
      <c r="C105" s="1"/>
      <c r="D105" s="1"/>
      <c r="E105" s="223"/>
      <c r="F105" s="223"/>
      <c r="G105" s="223"/>
      <c r="H105" s="1"/>
      <c r="I105" s="1"/>
      <c r="J105" s="1"/>
      <c r="K105" s="1"/>
      <c r="L105" s="1"/>
      <c r="M105" s="1"/>
      <c r="N105" s="1"/>
      <c r="O105" s="1"/>
      <c r="P105" s="1"/>
      <c r="Q105" s="4"/>
      <c r="R105" s="4"/>
      <c r="S105" s="1"/>
      <c r="T105" s="1"/>
      <c r="U105" s="5"/>
      <c r="V105" s="5"/>
      <c r="W105" s="1"/>
      <c r="X105" s="241"/>
      <c r="Y105" s="1"/>
      <c r="Z105" s="5"/>
      <c r="AA105" s="239"/>
      <c r="AB105" s="239"/>
      <c r="AC105" s="240"/>
      <c r="AD105" s="3"/>
      <c r="AE105" s="1"/>
      <c r="AF105" s="1"/>
      <c r="AG105" s="1"/>
      <c r="AH105" s="1"/>
      <c r="AI105" s="1"/>
    </row>
    <row r="106" spans="1:35" x14ac:dyDescent="0.3">
      <c r="A106" s="1"/>
      <c r="B106" s="2"/>
      <c r="C106" s="1"/>
      <c r="D106" s="1"/>
      <c r="E106" s="2"/>
      <c r="F106" s="1"/>
      <c r="G106" s="1"/>
      <c r="H106" s="1"/>
      <c r="I106" s="419" t="s">
        <v>77</v>
      </c>
      <c r="J106" s="419"/>
      <c r="K106" s="419"/>
      <c r="L106" s="419"/>
      <c r="M106" s="419"/>
      <c r="N106" s="419"/>
      <c r="O106" s="2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5"/>
      <c r="AA106" s="239"/>
      <c r="AB106" s="239"/>
      <c r="AC106" s="240"/>
      <c r="AD106" s="3"/>
      <c r="AE106" s="1"/>
      <c r="AF106" s="1"/>
      <c r="AG106" s="1"/>
      <c r="AH106" s="1"/>
      <c r="AI106" s="1"/>
    </row>
    <row r="107" spans="1:35" x14ac:dyDescent="0.3">
      <c r="A107" s="1"/>
      <c r="B107" s="2"/>
      <c r="C107" s="393" t="s">
        <v>67</v>
      </c>
      <c r="D107" s="394"/>
      <c r="E107" s="2"/>
      <c r="F107" s="395"/>
      <c r="G107" s="395"/>
      <c r="H107" s="1"/>
      <c r="I107" s="421" t="s">
        <v>68</v>
      </c>
      <c r="J107" s="422"/>
      <c r="K107" s="423"/>
      <c r="L107" s="397"/>
      <c r="M107" s="397"/>
      <c r="N107" s="424" t="str">
        <f>IF(C109="x",W115,"")</f>
        <v/>
      </c>
      <c r="O107" s="2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5"/>
      <c r="AA107" s="239"/>
      <c r="AB107" s="239"/>
      <c r="AC107" s="240"/>
      <c r="AD107" s="3"/>
      <c r="AE107" s="1"/>
      <c r="AF107" s="1"/>
      <c r="AG107" s="1"/>
      <c r="AH107" s="1"/>
      <c r="AI107" s="1"/>
    </row>
    <row r="108" spans="1:35" x14ac:dyDescent="0.3">
      <c r="A108" s="1"/>
      <c r="B108" s="2"/>
      <c r="C108" s="401"/>
      <c r="D108" s="402"/>
      <c r="E108" s="2"/>
      <c r="F108" s="395"/>
      <c r="G108" s="395"/>
      <c r="H108" s="1"/>
      <c r="I108" s="403" t="s">
        <v>70</v>
      </c>
      <c r="J108" s="441"/>
      <c r="K108" s="442" t="str">
        <f>IF(C109="x",F109,"")</f>
        <v/>
      </c>
      <c r="L108" s="405"/>
      <c r="M108" s="443">
        <v>0.05</v>
      </c>
      <c r="N108" s="444" t="str">
        <f>IF(C109="x",N107/(1-K108)-N107,"")</f>
        <v/>
      </c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5"/>
      <c r="AA108" s="239"/>
      <c r="AB108" s="239"/>
      <c r="AC108" s="240"/>
      <c r="AD108" s="3"/>
      <c r="AE108" s="1"/>
      <c r="AF108" s="1"/>
      <c r="AG108" s="1"/>
      <c r="AH108" s="1"/>
      <c r="AI108" s="1"/>
    </row>
    <row r="109" spans="1:35" x14ac:dyDescent="0.3">
      <c r="A109" s="1"/>
      <c r="B109" s="2"/>
      <c r="C109" s="408"/>
      <c r="D109" s="409"/>
      <c r="E109" s="2"/>
      <c r="F109" s="410"/>
      <c r="G109" s="410"/>
      <c r="H109" s="1"/>
      <c r="I109" s="411"/>
      <c r="J109" s="1"/>
      <c r="K109" s="1"/>
      <c r="L109" s="412"/>
      <c r="M109" s="1"/>
      <c r="N109" s="376"/>
      <c r="O109" s="1"/>
      <c r="P109" s="1"/>
      <c r="Q109" s="1"/>
      <c r="R109" s="1"/>
      <c r="S109" s="1"/>
      <c r="T109" s="1"/>
      <c r="U109" s="1"/>
      <c r="V109" s="1"/>
      <c r="W109" s="1"/>
      <c r="X109" s="241"/>
      <c r="Y109" s="1"/>
      <c r="Z109" s="5"/>
      <c r="AA109" s="239"/>
      <c r="AB109" s="239"/>
      <c r="AC109" s="240"/>
      <c r="AD109" s="3"/>
      <c r="AE109" s="1"/>
      <c r="AF109" s="1"/>
      <c r="AG109" s="1"/>
      <c r="AH109" s="1"/>
      <c r="AI109" s="1"/>
    </row>
    <row r="110" spans="1:35" x14ac:dyDescent="0.3">
      <c r="A110" s="1"/>
      <c r="B110" s="2"/>
      <c r="C110" s="413"/>
      <c r="D110" s="414"/>
      <c r="E110" s="2"/>
      <c r="F110" s="410"/>
      <c r="G110" s="410"/>
      <c r="H110" s="1"/>
      <c r="I110" s="403" t="s">
        <v>71</v>
      </c>
      <c r="J110" s="379"/>
      <c r="K110" s="379"/>
      <c r="L110" s="379"/>
      <c r="M110" s="415" t="str">
        <f>IF(C109="x",M108*(1-L109),"")</f>
        <v/>
      </c>
      <c r="N110" s="416"/>
      <c r="O110" s="296" t="s">
        <v>48</v>
      </c>
      <c r="P110" s="296"/>
      <c r="Q110" s="445" t="str">
        <f>IF(C109="x",M110,"0")</f>
        <v>0</v>
      </c>
      <c r="R110" s="337" t="s">
        <v>78</v>
      </c>
      <c r="S110" s="248"/>
      <c r="T110" s="248"/>
      <c r="U110" s="247"/>
      <c r="V110" s="247"/>
      <c r="W110" s="363">
        <f>W115*Q110</f>
        <v>0</v>
      </c>
      <c r="X110" s="241"/>
      <c r="Y110" s="1"/>
      <c r="Z110" s="5"/>
      <c r="AA110" s="239"/>
      <c r="AB110" s="239"/>
      <c r="AC110" s="240"/>
      <c r="AD110" s="3"/>
      <c r="AE110" s="1"/>
      <c r="AF110" s="1"/>
      <c r="AG110" s="1"/>
      <c r="AH110" s="1"/>
      <c r="AI110" s="1"/>
    </row>
    <row r="111" spans="1:35" x14ac:dyDescent="0.3">
      <c r="A111" s="1"/>
      <c r="B111" s="2"/>
      <c r="C111" s="2"/>
      <c r="D111" s="2"/>
      <c r="E111" s="2"/>
      <c r="F111" s="1"/>
      <c r="G111" s="1"/>
      <c r="H111" s="1"/>
      <c r="I111" s="2"/>
      <c r="J111" s="2"/>
      <c r="K111" s="2"/>
      <c r="L111" s="2"/>
      <c r="M111" s="2"/>
      <c r="N111" s="5"/>
      <c r="O111" s="1"/>
      <c r="P111" s="1"/>
      <c r="Q111" s="4"/>
      <c r="R111" s="4"/>
      <c r="S111" s="1"/>
      <c r="T111" s="1"/>
      <c r="U111" s="5"/>
      <c r="V111" s="5"/>
      <c r="W111" s="1"/>
      <c r="X111" s="241"/>
      <c r="Y111" s="1"/>
      <c r="Z111" s="5"/>
      <c r="AA111" s="239"/>
      <c r="AB111" s="239"/>
      <c r="AC111" s="240"/>
      <c r="AD111" s="3"/>
      <c r="AE111" s="1"/>
      <c r="AF111" s="1"/>
      <c r="AG111" s="1"/>
      <c r="AH111" s="1"/>
      <c r="AI111" s="1"/>
    </row>
    <row r="112" spans="1:35" x14ac:dyDescent="0.3">
      <c r="A112" s="1"/>
      <c r="B112" s="2"/>
      <c r="C112" s="1"/>
      <c r="D112" s="1"/>
      <c r="E112" s="2"/>
      <c r="F112" s="1"/>
      <c r="G112" s="1"/>
      <c r="H112" s="1"/>
      <c r="I112" s="2"/>
      <c r="J112" s="2"/>
      <c r="K112" s="2"/>
      <c r="L112" s="2"/>
      <c r="M112" s="2"/>
      <c r="N112" s="5"/>
      <c r="O112" s="1"/>
      <c r="P112" s="1"/>
      <c r="Q112" s="4"/>
      <c r="R112" s="4"/>
      <c r="S112" s="1"/>
      <c r="T112" s="1"/>
      <c r="U112" s="5"/>
      <c r="V112" s="5"/>
      <c r="W112" s="1"/>
      <c r="X112" s="241"/>
      <c r="Y112" s="1"/>
      <c r="Z112" s="5"/>
      <c r="AA112" s="239"/>
      <c r="AB112" s="239"/>
      <c r="AC112" s="240"/>
      <c r="AD112" s="3"/>
      <c r="AE112" s="1"/>
      <c r="AF112" s="1"/>
      <c r="AG112" s="1"/>
      <c r="AH112" s="1"/>
      <c r="AI112" s="1"/>
    </row>
    <row r="113" spans="1:35" x14ac:dyDescent="0.3">
      <c r="A113" s="1"/>
      <c r="B113" s="1"/>
      <c r="C113" s="2"/>
      <c r="D113" s="2"/>
      <c r="E113" s="2"/>
      <c r="F113" s="2"/>
      <c r="G113" s="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241"/>
      <c r="Y113" s="1"/>
      <c r="Z113" s="5"/>
      <c r="AA113" s="239"/>
      <c r="AB113" s="239"/>
      <c r="AC113" s="240"/>
      <c r="AD113" s="3"/>
      <c r="AE113" s="1"/>
      <c r="AF113" s="1"/>
      <c r="AG113" s="1"/>
      <c r="AH113" s="1"/>
      <c r="AI113" s="1"/>
    </row>
    <row r="114" spans="1:35" x14ac:dyDescent="0.3">
      <c r="A114" s="1"/>
      <c r="B114" s="1"/>
      <c r="C114" s="2"/>
      <c r="D114" s="2"/>
      <c r="E114" s="2"/>
      <c r="F114" s="2"/>
      <c r="G114" s="3"/>
      <c r="H114" s="1"/>
      <c r="I114" s="1"/>
      <c r="J114" s="1"/>
      <c r="K114" s="1"/>
      <c r="L114" s="1"/>
      <c r="M114" s="1"/>
      <c r="N114" s="1"/>
      <c r="O114" s="1"/>
      <c r="P114" s="1"/>
      <c r="Q114" s="4"/>
      <c r="R114" s="4"/>
      <c r="S114" s="1"/>
      <c r="T114" s="1"/>
      <c r="U114" s="5"/>
      <c r="V114" s="5"/>
      <c r="W114" s="9"/>
      <c r="X114" s="241"/>
      <c r="Y114" s="1"/>
      <c r="Z114" s="5"/>
      <c r="AA114" s="239"/>
      <c r="AB114" s="239"/>
      <c r="AC114" s="240"/>
      <c r="AD114" s="3"/>
      <c r="AE114" s="1"/>
      <c r="AF114" s="1"/>
      <c r="AG114" s="1"/>
      <c r="AH114" s="1"/>
      <c r="AI114" s="1"/>
    </row>
    <row r="115" spans="1:35" x14ac:dyDescent="0.3">
      <c r="A115" s="446"/>
      <c r="B115" s="446"/>
      <c r="C115" s="447"/>
      <c r="D115" s="447"/>
      <c r="E115" s="447"/>
      <c r="F115" s="447"/>
      <c r="G115" s="448"/>
      <c r="H115" s="446"/>
      <c r="I115" s="446"/>
      <c r="J115" s="446"/>
      <c r="K115" s="446"/>
      <c r="L115" s="446"/>
      <c r="M115" s="446"/>
      <c r="N115" s="446"/>
      <c r="O115" s="446"/>
      <c r="P115" s="446"/>
      <c r="Q115" s="449">
        <f>SUM(Q47:Q110)</f>
        <v>1.0000000000000002</v>
      </c>
      <c r="R115" s="450" t="s">
        <v>79</v>
      </c>
      <c r="S115" s="450"/>
      <c r="T115" s="450"/>
      <c r="U115" s="450"/>
      <c r="V115" s="450"/>
      <c r="W115" s="451">
        <f>W50/S50</f>
        <v>3307007.5239532753</v>
      </c>
      <c r="X115" s="452"/>
      <c r="Y115" s="446"/>
      <c r="Z115" s="5"/>
      <c r="AA115" s="239"/>
      <c r="AB115" s="239"/>
      <c r="AC115" s="240"/>
      <c r="AD115" s="3"/>
      <c r="AE115" s="1"/>
      <c r="AF115" s="1"/>
      <c r="AG115" s="1"/>
      <c r="AH115" s="1"/>
      <c r="AI115" s="1"/>
    </row>
    <row r="116" spans="1:35" x14ac:dyDescent="0.3">
      <c r="A116" s="446"/>
      <c r="B116" s="446"/>
      <c r="C116" s="447"/>
      <c r="D116" s="447"/>
      <c r="E116" s="447"/>
      <c r="F116" s="447"/>
      <c r="G116" s="448"/>
      <c r="H116" s="446"/>
      <c r="I116" s="446"/>
      <c r="J116" s="446"/>
      <c r="K116" s="446"/>
      <c r="L116" s="446"/>
      <c r="M116" s="446"/>
      <c r="N116" s="446"/>
      <c r="O116" s="446"/>
      <c r="P116" s="446"/>
      <c r="Q116" s="449"/>
      <c r="R116" s="450"/>
      <c r="S116" s="450"/>
      <c r="T116" s="450"/>
      <c r="U116" s="450"/>
      <c r="V116" s="450"/>
      <c r="W116" s="451"/>
      <c r="X116" s="452"/>
      <c r="Y116" s="446"/>
      <c r="Z116" s="5"/>
      <c r="AA116" s="239"/>
      <c r="AB116" s="239"/>
      <c r="AC116" s="240"/>
      <c r="AD116" s="3"/>
      <c r="AE116" s="1"/>
      <c r="AF116" s="1"/>
      <c r="AG116" s="1"/>
      <c r="AH116" s="1"/>
      <c r="AI116" s="1"/>
    </row>
    <row r="117" spans="1:35" x14ac:dyDescent="0.3">
      <c r="A117" s="1"/>
      <c r="B117" s="1"/>
      <c r="C117" s="2"/>
      <c r="D117" s="2"/>
      <c r="E117" s="2"/>
      <c r="F117" s="2"/>
      <c r="G117" s="3"/>
      <c r="H117" s="1"/>
      <c r="I117" s="1"/>
      <c r="J117" s="1"/>
      <c r="K117" s="1"/>
      <c r="L117" s="1"/>
      <c r="M117" s="1"/>
      <c r="N117" s="1"/>
      <c r="O117" s="295"/>
      <c r="P117" s="295"/>
      <c r="Q117" s="1"/>
      <c r="R117" s="1"/>
      <c r="S117" s="1"/>
      <c r="T117" s="1"/>
      <c r="U117" s="1"/>
      <c r="V117" s="1"/>
      <c r="W117" s="1"/>
      <c r="X117" s="241"/>
      <c r="Y117" s="1"/>
      <c r="Z117" s="5"/>
      <c r="AA117" s="239"/>
      <c r="AB117" s="239"/>
      <c r="AC117" s="240"/>
      <c r="AD117" s="3"/>
      <c r="AE117" s="1"/>
      <c r="AF117" s="1"/>
      <c r="AG117" s="1"/>
      <c r="AH117" s="1"/>
      <c r="AI117" s="1"/>
    </row>
    <row r="118" spans="1:35" x14ac:dyDescent="0.3">
      <c r="A118" s="1"/>
      <c r="B118" s="1"/>
      <c r="C118" s="2"/>
      <c r="D118" s="2"/>
      <c r="E118" s="2"/>
      <c r="F118" s="2"/>
      <c r="G118" s="3"/>
      <c r="H118" s="1"/>
      <c r="I118" s="1"/>
      <c r="J118" s="1"/>
      <c r="K118" s="1"/>
      <c r="L118" s="1"/>
      <c r="M118" s="1"/>
      <c r="N118" s="1"/>
      <c r="O118" s="1"/>
      <c r="P118" s="1"/>
      <c r="Q118" s="4"/>
      <c r="R118" s="4"/>
      <c r="S118" s="1"/>
      <c r="T118" s="1"/>
      <c r="U118" s="239"/>
      <c r="V118" s="239"/>
      <c r="W118" s="1"/>
      <c r="X118" s="241"/>
      <c r="Y118" s="1"/>
      <c r="Z118" s="5"/>
      <c r="AA118" s="239"/>
      <c r="AB118" s="239"/>
      <c r="AC118" s="240"/>
      <c r="AD118" s="3"/>
      <c r="AE118" s="1"/>
      <c r="AF118" s="1"/>
      <c r="AG118" s="1"/>
      <c r="AH118" s="1"/>
      <c r="AI118" s="1"/>
    </row>
    <row r="119" spans="1:35" x14ac:dyDescent="0.3">
      <c r="A119" s="1"/>
      <c r="B119" s="1"/>
      <c r="C119" s="2"/>
      <c r="D119" s="2"/>
      <c r="E119" s="319"/>
      <c r="F119" s="320"/>
      <c r="G119" s="453"/>
      <c r="H119" s="256"/>
      <c r="I119" s="256"/>
      <c r="J119" s="256"/>
      <c r="K119" s="256"/>
      <c r="L119" s="256"/>
      <c r="M119" s="256"/>
      <c r="N119" s="256"/>
      <c r="O119" s="256"/>
      <c r="P119" s="256"/>
      <c r="Q119" s="257"/>
      <c r="R119" s="257"/>
      <c r="S119" s="256"/>
      <c r="T119" s="256"/>
      <c r="U119" s="454"/>
      <c r="V119" s="454"/>
      <c r="W119" s="256"/>
      <c r="X119" s="259"/>
      <c r="Y119" s="1"/>
      <c r="Z119" s="5"/>
      <c r="AA119" s="239"/>
      <c r="AB119" s="239"/>
      <c r="AC119" s="240"/>
      <c r="AD119" s="3"/>
      <c r="AE119" s="1"/>
      <c r="AF119" s="1"/>
      <c r="AG119" s="1"/>
      <c r="AH119" s="1"/>
      <c r="AI119" s="1"/>
    </row>
    <row r="120" spans="1:35" x14ac:dyDescent="0.3">
      <c r="A120" s="1"/>
      <c r="B120" s="1"/>
      <c r="C120" s="2"/>
      <c r="D120" s="2"/>
      <c r="E120" s="455"/>
      <c r="F120" s="2"/>
      <c r="G120" s="3"/>
      <c r="H120" s="1"/>
      <c r="I120" s="456" t="s">
        <v>80</v>
      </c>
      <c r="J120" s="456"/>
      <c r="K120" s="456"/>
      <c r="L120" s="456"/>
      <c r="M120" s="456"/>
      <c r="N120" s="456"/>
      <c r="O120" s="1"/>
      <c r="P120" s="1"/>
      <c r="Q120" s="4"/>
      <c r="R120" s="4"/>
      <c r="S120" s="1"/>
      <c r="T120" s="1"/>
      <c r="U120" s="5"/>
      <c r="V120" s="5"/>
      <c r="W120" s="1"/>
      <c r="X120" s="266"/>
      <c r="Y120" s="1"/>
      <c r="Z120" s="5"/>
      <c r="AA120" s="239"/>
      <c r="AB120" s="239"/>
      <c r="AC120" s="240"/>
      <c r="AD120" s="3"/>
      <c r="AE120" s="1"/>
      <c r="AF120" s="1"/>
      <c r="AG120" s="1"/>
      <c r="AH120" s="1"/>
      <c r="AI120" s="1"/>
    </row>
    <row r="121" spans="1:35" x14ac:dyDescent="0.3">
      <c r="A121" s="1"/>
      <c r="B121" s="1"/>
      <c r="C121" s="2"/>
      <c r="D121" s="2"/>
      <c r="E121" s="455"/>
      <c r="F121" s="2"/>
      <c r="G121" s="3"/>
      <c r="H121" s="1"/>
      <c r="I121" s="457"/>
      <c r="J121" s="457"/>
      <c r="K121" s="457"/>
      <c r="L121" s="457"/>
      <c r="M121" s="457"/>
      <c r="N121" s="457"/>
      <c r="O121" s="1"/>
      <c r="P121" s="1"/>
      <c r="Q121" s="4"/>
      <c r="R121" s="4"/>
      <c r="S121" s="1"/>
      <c r="T121" s="1"/>
      <c r="U121" s="5"/>
      <c r="V121" s="5"/>
      <c r="W121" s="1"/>
      <c r="X121" s="266"/>
      <c r="Y121" s="1"/>
      <c r="Z121" s="5"/>
      <c r="AA121" s="239"/>
      <c r="AB121" s="239"/>
      <c r="AC121" s="240"/>
      <c r="AD121" s="3"/>
      <c r="AE121" s="1"/>
      <c r="AF121" s="1"/>
      <c r="AG121" s="1"/>
      <c r="AH121" s="1"/>
      <c r="AI121" s="1"/>
    </row>
    <row r="122" spans="1:35" x14ac:dyDescent="0.3">
      <c r="A122" s="1"/>
      <c r="B122" s="1"/>
      <c r="C122" s="2"/>
      <c r="D122" s="2"/>
      <c r="E122" s="455"/>
      <c r="F122" s="393" t="s">
        <v>81</v>
      </c>
      <c r="G122" s="394"/>
      <c r="H122" s="1"/>
      <c r="I122" s="458" t="s">
        <v>82</v>
      </c>
      <c r="J122" s="459"/>
      <c r="K122" s="460"/>
      <c r="L122" s="461"/>
      <c r="M122" s="461"/>
      <c r="N122" s="462" t="str">
        <f>IF(F124="X", W115, "")</f>
        <v/>
      </c>
      <c r="O122" s="1"/>
      <c r="P122" s="1"/>
      <c r="Q122" s="4"/>
      <c r="R122" s="4"/>
      <c r="S122" s="1"/>
      <c r="T122" s="1"/>
      <c r="U122" s="5"/>
      <c r="V122" s="5"/>
      <c r="W122" s="1"/>
      <c r="X122" s="266"/>
      <c r="Y122" s="1"/>
      <c r="Z122" s="5"/>
      <c r="AA122" s="239"/>
      <c r="AB122" s="239"/>
      <c r="AC122" s="240"/>
      <c r="AD122" s="3"/>
      <c r="AE122" s="1"/>
      <c r="AF122" s="1"/>
      <c r="AG122" s="1"/>
      <c r="AH122" s="1"/>
      <c r="AI122" s="1"/>
    </row>
    <row r="123" spans="1:35" x14ac:dyDescent="0.3">
      <c r="A123" s="1"/>
      <c r="B123" s="1"/>
      <c r="C123" s="2"/>
      <c r="D123" s="2"/>
      <c r="E123" s="455"/>
      <c r="F123" s="401"/>
      <c r="G123" s="402"/>
      <c r="H123" s="1"/>
      <c r="I123" s="463" t="s">
        <v>83</v>
      </c>
      <c r="J123" s="464"/>
      <c r="K123" s="464"/>
      <c r="L123" s="465"/>
      <c r="M123" s="465"/>
      <c r="N123" s="466">
        <v>0.1</v>
      </c>
      <c r="O123" s="1"/>
      <c r="P123" s="1"/>
      <c r="Q123" s="4"/>
      <c r="R123" s="4"/>
      <c r="S123" s="1"/>
      <c r="T123" s="1"/>
      <c r="U123" s="5"/>
      <c r="V123" s="5"/>
      <c r="W123" s="1"/>
      <c r="X123" s="266"/>
      <c r="Y123" s="1"/>
      <c r="Z123" s="5"/>
      <c r="AA123" s="239"/>
      <c r="AB123" s="239"/>
      <c r="AC123" s="240"/>
      <c r="AD123" s="3"/>
      <c r="AE123" s="1"/>
      <c r="AF123" s="1"/>
      <c r="AG123" s="1"/>
      <c r="AH123" s="1"/>
      <c r="AI123" s="1"/>
    </row>
    <row r="124" spans="1:35" x14ac:dyDescent="0.3">
      <c r="A124" s="1"/>
      <c r="B124" s="1"/>
      <c r="C124" s="2"/>
      <c r="D124" s="2"/>
      <c r="E124" s="455"/>
      <c r="F124" s="408"/>
      <c r="G124" s="409"/>
      <c r="H124" s="1"/>
      <c r="I124" s="463"/>
      <c r="J124" s="464"/>
      <c r="K124" s="464"/>
      <c r="L124" s="464"/>
      <c r="M124" s="464"/>
      <c r="N124" s="467"/>
      <c r="O124" s="1"/>
      <c r="P124" s="1"/>
      <c r="Q124" s="4"/>
      <c r="R124" s="4"/>
      <c r="S124" s="1"/>
      <c r="T124" s="1"/>
      <c r="U124" s="5"/>
      <c r="V124" s="5"/>
      <c r="W124" s="1"/>
      <c r="X124" s="266"/>
      <c r="Y124" s="1"/>
      <c r="Z124" s="5"/>
      <c r="AA124" s="239"/>
      <c r="AB124" s="239"/>
      <c r="AC124" s="240"/>
      <c r="AD124" s="3"/>
      <c r="AE124" s="1"/>
      <c r="AF124" s="1"/>
      <c r="AG124" s="1"/>
      <c r="AH124" s="1"/>
      <c r="AI124" s="1"/>
    </row>
    <row r="125" spans="1:35" x14ac:dyDescent="0.3">
      <c r="A125" s="1"/>
      <c r="B125" s="1"/>
      <c r="C125" s="2"/>
      <c r="D125" s="2"/>
      <c r="E125" s="455"/>
      <c r="F125" s="413"/>
      <c r="G125" s="414"/>
      <c r="H125" s="1"/>
      <c r="I125" s="468" t="s">
        <v>84</v>
      </c>
      <c r="J125" s="469"/>
      <c r="K125" s="469"/>
      <c r="L125" s="469"/>
      <c r="M125" s="469"/>
      <c r="N125" s="470" t="str">
        <f>IF(F124="x",N122*N123,"")</f>
        <v/>
      </c>
      <c r="O125" s="471" t="s">
        <v>48</v>
      </c>
      <c r="P125" s="471"/>
      <c r="Q125" s="249"/>
      <c r="R125" s="472" t="s">
        <v>85</v>
      </c>
      <c r="S125" s="248"/>
      <c r="T125" s="248"/>
      <c r="U125" s="473"/>
      <c r="V125" s="473"/>
      <c r="W125" s="418" t="str">
        <f>N125</f>
        <v/>
      </c>
      <c r="X125" s="266"/>
      <c r="Y125" s="1"/>
      <c r="Z125" s="5"/>
      <c r="AA125" s="239"/>
      <c r="AB125" s="239"/>
      <c r="AC125" s="240"/>
      <c r="AD125" s="3"/>
      <c r="AE125" s="1"/>
      <c r="AF125" s="1"/>
      <c r="AG125" s="1"/>
      <c r="AH125" s="1"/>
      <c r="AI125" s="1"/>
    </row>
    <row r="126" spans="1:35" x14ac:dyDescent="0.3">
      <c r="A126" s="1"/>
      <c r="B126" s="1"/>
      <c r="C126" s="2"/>
      <c r="D126" s="2"/>
      <c r="E126" s="455"/>
      <c r="F126" s="2"/>
      <c r="G126" s="3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266"/>
      <c r="Y126" s="1"/>
      <c r="Z126" s="5"/>
      <c r="AA126" s="239"/>
      <c r="AB126" s="239"/>
      <c r="AC126" s="240"/>
      <c r="AD126" s="3"/>
      <c r="AE126" s="1"/>
      <c r="AF126" s="1"/>
      <c r="AG126" s="1"/>
      <c r="AH126" s="1"/>
      <c r="AI126" s="1"/>
    </row>
    <row r="127" spans="1:35" x14ac:dyDescent="0.3">
      <c r="A127" s="1"/>
      <c r="B127" s="1"/>
      <c r="C127" s="2"/>
      <c r="D127" s="2"/>
      <c r="E127" s="390"/>
      <c r="F127" s="391"/>
      <c r="G127" s="392"/>
      <c r="H127" s="274"/>
      <c r="I127" s="274"/>
      <c r="J127" s="274"/>
      <c r="K127" s="274"/>
      <c r="L127" s="274"/>
      <c r="M127" s="274"/>
      <c r="N127" s="274"/>
      <c r="O127" s="274"/>
      <c r="P127" s="274"/>
      <c r="Q127" s="275"/>
      <c r="R127" s="275"/>
      <c r="S127" s="274"/>
      <c r="T127" s="274"/>
      <c r="U127" s="276"/>
      <c r="V127" s="276"/>
      <c r="W127" s="274"/>
      <c r="X127" s="277"/>
      <c r="Y127" s="1"/>
      <c r="Z127" s="5"/>
      <c r="AA127" s="239"/>
      <c r="AB127" s="239"/>
      <c r="AC127" s="240"/>
      <c r="AD127" s="3"/>
      <c r="AE127" s="1"/>
      <c r="AF127" s="1"/>
      <c r="AG127" s="1"/>
      <c r="AH127" s="1"/>
      <c r="AI127" s="1"/>
    </row>
    <row r="128" spans="1:35" x14ac:dyDescent="0.3">
      <c r="A128" s="1"/>
      <c r="B128" s="1"/>
      <c r="C128" s="2"/>
      <c r="D128" s="2"/>
      <c r="E128" s="2"/>
      <c r="F128" s="2"/>
      <c r="G128" s="3"/>
      <c r="H128" s="1"/>
      <c r="I128" s="1"/>
      <c r="J128" s="1"/>
      <c r="K128" s="1"/>
      <c r="L128" s="1"/>
      <c r="M128" s="1"/>
      <c r="N128" s="1"/>
      <c r="O128" s="1"/>
      <c r="P128" s="1"/>
      <c r="Q128" s="4"/>
      <c r="R128" s="4"/>
      <c r="S128" s="1"/>
      <c r="T128" s="1"/>
      <c r="U128" s="5"/>
      <c r="V128" s="5"/>
      <c r="W128" s="1"/>
      <c r="X128" s="241"/>
      <c r="Y128" s="1"/>
      <c r="Z128" s="5"/>
      <c r="AA128" s="239"/>
      <c r="AB128" s="239"/>
      <c r="AC128" s="240"/>
      <c r="AD128" s="3"/>
      <c r="AE128" s="1"/>
      <c r="AF128" s="1"/>
      <c r="AG128" s="1"/>
      <c r="AH128" s="1"/>
      <c r="AI128" s="1"/>
    </row>
    <row r="129" spans="1:35" x14ac:dyDescent="0.3">
      <c r="A129" s="1"/>
      <c r="B129" s="1"/>
      <c r="C129" s="2"/>
      <c r="D129" s="2"/>
      <c r="E129" s="2"/>
      <c r="F129" s="2"/>
      <c r="G129" s="3"/>
      <c r="H129" s="1"/>
      <c r="I129" s="1"/>
      <c r="J129" s="1"/>
      <c r="K129" s="1"/>
      <c r="L129" s="1"/>
      <c r="M129" s="1"/>
      <c r="N129" s="1"/>
      <c r="O129" s="1"/>
      <c r="P129" s="1"/>
      <c r="Q129" s="4"/>
      <c r="R129" s="4"/>
      <c r="S129" s="1"/>
      <c r="T129" s="1"/>
      <c r="U129" s="5"/>
      <c r="V129" s="5"/>
      <c r="W129" s="1"/>
      <c r="X129" s="241"/>
      <c r="Y129" s="1"/>
      <c r="Z129" s="5"/>
      <c r="AA129" s="239"/>
      <c r="AB129" s="239"/>
      <c r="AC129" s="240"/>
      <c r="AD129" s="3"/>
      <c r="AE129" s="1"/>
      <c r="AF129" s="1"/>
      <c r="AG129" s="1"/>
      <c r="AH129" s="1"/>
      <c r="AI129" s="1"/>
    </row>
    <row r="130" spans="1:35" x14ac:dyDescent="0.3">
      <c r="A130" s="1"/>
      <c r="B130" s="253"/>
      <c r="C130" s="256"/>
      <c r="D130" s="256"/>
      <c r="E130" s="256"/>
      <c r="F130" s="256"/>
      <c r="G130" s="256"/>
      <c r="H130" s="256"/>
      <c r="I130" s="256"/>
      <c r="J130" s="256"/>
      <c r="K130" s="256"/>
      <c r="L130" s="256"/>
      <c r="M130" s="256"/>
      <c r="N130" s="256"/>
      <c r="O130" s="256"/>
      <c r="P130" s="256"/>
      <c r="Q130" s="257"/>
      <c r="R130" s="257"/>
      <c r="S130" s="256"/>
      <c r="T130" s="256"/>
      <c r="U130" s="258"/>
      <c r="V130" s="258"/>
      <c r="W130" s="256"/>
      <c r="X130" s="259"/>
      <c r="Y130" s="1"/>
      <c r="Z130" s="5"/>
      <c r="AA130" s="239"/>
      <c r="AB130" s="239"/>
      <c r="AC130" s="240"/>
      <c r="AD130" s="3"/>
      <c r="AE130" s="1"/>
      <c r="AF130" s="1"/>
      <c r="AG130" s="1"/>
      <c r="AH130" s="1"/>
      <c r="AI130" s="1"/>
    </row>
    <row r="131" spans="1:35" x14ac:dyDescent="0.3">
      <c r="A131" s="1"/>
      <c r="B131" s="474"/>
      <c r="C131" s="1"/>
      <c r="D131" s="1"/>
      <c r="E131" s="1"/>
      <c r="F131" s="1"/>
      <c r="G131" s="1"/>
      <c r="H131" s="1"/>
      <c r="I131" s="475"/>
      <c r="J131" s="475"/>
      <c r="K131" s="475"/>
      <c r="L131" s="475"/>
      <c r="M131" s="475"/>
      <c r="N131" s="476"/>
      <c r="O131" s="1"/>
      <c r="P131" s="477"/>
      <c r="Q131" s="477"/>
      <c r="R131" s="477"/>
      <c r="S131" s="477"/>
      <c r="T131" s="477"/>
      <c r="U131" s="477"/>
      <c r="V131" s="476"/>
      <c r="W131" s="1"/>
      <c r="X131" s="241"/>
      <c r="Y131" s="475"/>
      <c r="Z131" s="475"/>
      <c r="AA131" s="475"/>
      <c r="AB131" s="475"/>
      <c r="AC131" s="475"/>
      <c r="AD131" s="475"/>
      <c r="AE131" s="476"/>
      <c r="AF131" s="1"/>
      <c r="AG131" s="1"/>
      <c r="AH131" s="1"/>
      <c r="AI131" s="1"/>
    </row>
    <row r="132" spans="1:35" x14ac:dyDescent="0.3">
      <c r="A132" s="1"/>
      <c r="B132" s="474"/>
      <c r="C132" s="478" t="s">
        <v>86</v>
      </c>
      <c r="D132" s="478"/>
      <c r="E132" s="478"/>
      <c r="F132" s="478"/>
      <c r="G132" s="478"/>
      <c r="H132" s="1"/>
      <c r="I132" s="479" t="s">
        <v>87</v>
      </c>
      <c r="J132" s="480"/>
      <c r="K132" s="480"/>
      <c r="L132" s="480"/>
      <c r="M132" s="480"/>
      <c r="N132" s="481"/>
      <c r="O132" s="1"/>
      <c r="P132" s="482"/>
      <c r="Q132" s="482"/>
      <c r="R132" s="482"/>
      <c r="S132" s="482"/>
      <c r="T132" s="482"/>
      <c r="U132" s="482"/>
      <c r="V132" s="482"/>
      <c r="W132" s="1"/>
      <c r="X132" s="24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spans="1:35" x14ac:dyDescent="0.3">
      <c r="A133" s="1"/>
      <c r="B133" s="474"/>
      <c r="C133" s="478"/>
      <c r="D133" s="478"/>
      <c r="E133" s="478"/>
      <c r="F133" s="478"/>
      <c r="G133" s="478"/>
      <c r="H133" s="1"/>
      <c r="I133" s="483" t="s">
        <v>88</v>
      </c>
      <c r="J133" s="484"/>
      <c r="K133" s="485"/>
      <c r="L133" s="1"/>
      <c r="M133" s="1"/>
      <c r="N133" s="486">
        <f>W115</f>
        <v>3307007.5239532753</v>
      </c>
      <c r="O133" s="1"/>
      <c r="P133" s="1"/>
      <c r="Q133" s="4"/>
      <c r="R133" s="4"/>
      <c r="S133" s="1"/>
      <c r="T133" s="1"/>
      <c r="U133" s="5"/>
      <c r="V133" s="5"/>
      <c r="W133" s="1"/>
      <c r="X133" s="241"/>
      <c r="Y133" s="487"/>
      <c r="Z133" s="487"/>
      <c r="AA133" s="487"/>
      <c r="AB133" s="487"/>
      <c r="AC133" s="487"/>
      <c r="AD133" s="487"/>
      <c r="AE133" s="488"/>
      <c r="AF133" s="1"/>
      <c r="AG133" s="1"/>
      <c r="AH133" s="1"/>
      <c r="AI133" s="1"/>
    </row>
    <row r="134" spans="1:35" x14ac:dyDescent="0.3">
      <c r="A134" s="1"/>
      <c r="B134" s="474"/>
      <c r="C134" s="489">
        <v>0</v>
      </c>
      <c r="D134" s="489"/>
      <c r="E134" s="489"/>
      <c r="F134" s="489"/>
      <c r="G134" s="489"/>
      <c r="H134" s="1"/>
      <c r="I134" s="483" t="s">
        <v>89</v>
      </c>
      <c r="J134" s="490">
        <v>1E-3</v>
      </c>
      <c r="K134" s="490"/>
      <c r="L134" s="7" t="s">
        <v>90</v>
      </c>
      <c r="M134" s="7"/>
      <c r="N134" s="491">
        <f>J134*(1-C134)</f>
        <v>1E-3</v>
      </c>
      <c r="O134" s="400"/>
      <c r="P134" s="400"/>
      <c r="Q134" s="4"/>
      <c r="R134" s="4"/>
      <c r="S134" s="1"/>
      <c r="T134" s="1"/>
      <c r="U134" s="5"/>
      <c r="V134" s="5"/>
      <c r="W134" s="1"/>
      <c r="X134" s="24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spans="1:35" x14ac:dyDescent="0.3">
      <c r="A135" s="1"/>
      <c r="B135" s="474"/>
      <c r="C135" s="489"/>
      <c r="D135" s="489"/>
      <c r="E135" s="489"/>
      <c r="F135" s="489"/>
      <c r="G135" s="489"/>
      <c r="H135" s="1"/>
      <c r="I135" s="492" t="s">
        <v>91</v>
      </c>
      <c r="J135" s="441"/>
      <c r="K135" s="493"/>
      <c r="L135" s="405" t="s">
        <v>92</v>
      </c>
      <c r="M135" s="405"/>
      <c r="N135" s="424">
        <f>N133*N134</f>
        <v>3307.0075239532753</v>
      </c>
      <c r="O135" s="494" t="s">
        <v>48</v>
      </c>
      <c r="P135" s="296"/>
      <c r="Q135" s="249"/>
      <c r="R135" s="495" t="s">
        <v>93</v>
      </c>
      <c r="S135" s="248"/>
      <c r="T135" s="248"/>
      <c r="U135" s="496"/>
      <c r="V135" s="496"/>
      <c r="W135" s="497">
        <v>0</v>
      </c>
      <c r="X135" s="241"/>
      <c r="Y135" s="475"/>
      <c r="Z135" s="475"/>
      <c r="AA135" s="475"/>
      <c r="AB135" s="475"/>
      <c r="AC135" s="475"/>
      <c r="AD135" s="475"/>
      <c r="AE135" s="476"/>
      <c r="AF135" s="1"/>
      <c r="AG135" s="1"/>
      <c r="AH135" s="1"/>
      <c r="AI135" s="1"/>
    </row>
    <row r="136" spans="1:35" x14ac:dyDescent="0.3">
      <c r="A136" s="1"/>
      <c r="B136" s="474"/>
      <c r="C136" s="498" t="s">
        <v>94</v>
      </c>
      <c r="D136" s="498"/>
      <c r="E136" s="498"/>
      <c r="F136" s="498"/>
      <c r="G136" s="49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24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spans="1:35" ht="31.2" x14ac:dyDescent="0.3">
      <c r="A137" s="1"/>
      <c r="B137" s="2"/>
      <c r="C137" s="499"/>
      <c r="D137" s="499"/>
      <c r="E137" s="499"/>
      <c r="F137" s="499"/>
      <c r="G137" s="49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24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spans="1:35" ht="31.2" x14ac:dyDescent="0.3">
      <c r="A138" s="1"/>
      <c r="B138" s="2"/>
      <c r="C138" s="393" t="s">
        <v>67</v>
      </c>
      <c r="D138" s="394"/>
      <c r="E138" s="499"/>
      <c r="F138" s="499"/>
      <c r="G138" s="499"/>
      <c r="H138" s="1"/>
      <c r="I138" s="479" t="s">
        <v>95</v>
      </c>
      <c r="J138" s="480"/>
      <c r="K138" s="480"/>
      <c r="L138" s="480"/>
      <c r="M138" s="480"/>
      <c r="N138" s="481"/>
      <c r="O138" s="1"/>
      <c r="P138" s="482"/>
      <c r="Q138" s="482"/>
      <c r="R138" s="482"/>
      <c r="S138" s="482"/>
      <c r="T138" s="482"/>
      <c r="U138" s="482"/>
      <c r="V138" s="482"/>
      <c r="W138" s="1"/>
      <c r="X138" s="241"/>
      <c r="Y138" s="500"/>
      <c r="Z138" s="500"/>
      <c r="AA138" s="500"/>
      <c r="AB138" s="500"/>
      <c r="AC138" s="500"/>
      <c r="AD138" s="500"/>
      <c r="AE138" s="500"/>
      <c r="AF138" s="1"/>
      <c r="AG138" s="1"/>
      <c r="AH138" s="1"/>
      <c r="AI138" s="1"/>
    </row>
    <row r="139" spans="1:35" x14ac:dyDescent="0.3">
      <c r="A139" s="1"/>
      <c r="B139" s="223"/>
      <c r="C139" s="401"/>
      <c r="D139" s="402"/>
      <c r="E139" s="2"/>
      <c r="F139" s="501"/>
      <c r="G139" s="501"/>
      <c r="H139" s="1"/>
      <c r="I139" s="483" t="s">
        <v>88</v>
      </c>
      <c r="J139" s="484"/>
      <c r="K139" s="485"/>
      <c r="L139" s="1"/>
      <c r="M139" s="1"/>
      <c r="N139" s="486">
        <f>W115</f>
        <v>3307007.5239532753</v>
      </c>
      <c r="O139" s="1"/>
      <c r="P139" s="500"/>
      <c r="Q139" s="484"/>
      <c r="R139" s="485"/>
      <c r="S139" s="1"/>
      <c r="T139" s="1"/>
      <c r="U139" s="1"/>
      <c r="V139" s="502"/>
      <c r="W139" s="1"/>
      <c r="X139" s="241"/>
      <c r="Y139" s="500"/>
      <c r="Z139" s="484"/>
      <c r="AA139" s="485"/>
      <c r="AB139" s="485"/>
      <c r="AC139" s="1"/>
      <c r="AD139" s="1"/>
      <c r="AE139" s="502"/>
      <c r="AF139" s="1"/>
      <c r="AG139" s="1"/>
      <c r="AH139" s="1"/>
      <c r="AI139" s="1"/>
    </row>
    <row r="140" spans="1:35" x14ac:dyDescent="0.3">
      <c r="A140" s="1"/>
      <c r="B140" s="2"/>
      <c r="C140" s="408" t="s">
        <v>17</v>
      </c>
      <c r="D140" s="409"/>
      <c r="E140" s="1"/>
      <c r="F140" s="1"/>
      <c r="G140" s="1"/>
      <c r="H140" s="1"/>
      <c r="I140" s="483" t="s">
        <v>96</v>
      </c>
      <c r="J140" s="490">
        <v>8.9999999999999993E-3</v>
      </c>
      <c r="K140" s="485"/>
      <c r="L140" s="7" t="s">
        <v>90</v>
      </c>
      <c r="M140" s="7"/>
      <c r="N140" s="503">
        <f>J140*(1-C134)</f>
        <v>8.9999999999999993E-3</v>
      </c>
      <c r="O140" s="1"/>
      <c r="P140" s="500"/>
      <c r="Q140" s="490"/>
      <c r="R140" s="485"/>
      <c r="S140" s="7"/>
      <c r="T140" s="7"/>
      <c r="U140" s="7"/>
      <c r="V140" s="269"/>
      <c r="W140" s="1"/>
      <c r="X140" s="241"/>
      <c r="Y140" s="500"/>
      <c r="Z140" s="490"/>
      <c r="AA140" s="485"/>
      <c r="AB140" s="485"/>
      <c r="AC140" s="7"/>
      <c r="AD140" s="7"/>
      <c r="AE140" s="269"/>
      <c r="AF140" s="1"/>
      <c r="AG140" s="1"/>
      <c r="AH140" s="1"/>
      <c r="AI140" s="1"/>
    </row>
    <row r="141" spans="1:35" x14ac:dyDescent="0.3">
      <c r="A141" s="1"/>
      <c r="B141" s="223"/>
      <c r="C141" s="413"/>
      <c r="D141" s="414"/>
      <c r="E141" s="1"/>
      <c r="F141" s="1"/>
      <c r="G141" s="1"/>
      <c r="H141" s="1"/>
      <c r="I141" s="492" t="s">
        <v>91</v>
      </c>
      <c r="J141" s="441"/>
      <c r="K141" s="493"/>
      <c r="L141" s="405" t="s">
        <v>92</v>
      </c>
      <c r="M141" s="405"/>
      <c r="N141" s="424">
        <f>N140*N139</f>
        <v>29763.067715579476</v>
      </c>
      <c r="O141" s="504" t="s">
        <v>48</v>
      </c>
      <c r="P141" s="304"/>
      <c r="Q141" s="249"/>
      <c r="R141" s="495" t="s">
        <v>97</v>
      </c>
      <c r="S141" s="248"/>
      <c r="T141" s="248"/>
      <c r="U141" s="473"/>
      <c r="V141" s="473"/>
      <c r="W141" s="497">
        <v>0</v>
      </c>
      <c r="X141" s="241"/>
      <c r="Y141" s="484"/>
      <c r="Z141" s="484"/>
      <c r="AA141" s="505"/>
      <c r="AB141" s="505"/>
      <c r="AC141" s="506"/>
      <c r="AD141" s="506"/>
      <c r="AE141" s="507"/>
      <c r="AF141" s="1"/>
      <c r="AG141" s="1"/>
      <c r="AH141" s="1"/>
      <c r="AI141" s="1"/>
    </row>
    <row r="142" spans="1:35" x14ac:dyDescent="0.3">
      <c r="A142" s="1"/>
      <c r="B142" s="223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4"/>
      <c r="O142" s="1"/>
      <c r="P142" s="1"/>
      <c r="Q142" s="1"/>
      <c r="R142" s="1"/>
      <c r="S142" s="1"/>
      <c r="T142" s="1"/>
      <c r="U142" s="1"/>
      <c r="V142" s="4"/>
      <c r="W142" s="1"/>
      <c r="X142" s="241"/>
      <c r="Y142" s="1"/>
      <c r="Z142" s="1"/>
      <c r="AA142" s="1"/>
      <c r="AB142" s="1"/>
      <c r="AC142" s="1"/>
      <c r="AD142" s="1"/>
      <c r="AE142" s="4"/>
      <c r="AF142" s="1"/>
      <c r="AG142" s="1"/>
      <c r="AH142" s="1"/>
      <c r="AI142" s="1"/>
    </row>
    <row r="143" spans="1:35" x14ac:dyDescent="0.3">
      <c r="A143" s="1"/>
      <c r="B143" s="508"/>
      <c r="C143" s="391"/>
      <c r="D143" s="391"/>
      <c r="E143" s="391"/>
      <c r="F143" s="391"/>
      <c r="G143" s="392"/>
      <c r="H143" s="274"/>
      <c r="I143" s="274"/>
      <c r="J143" s="274"/>
      <c r="K143" s="274"/>
      <c r="L143" s="274"/>
      <c r="M143" s="274"/>
      <c r="N143" s="274"/>
      <c r="O143" s="274"/>
      <c r="P143" s="274"/>
      <c r="Q143" s="275"/>
      <c r="R143" s="275"/>
      <c r="S143" s="274"/>
      <c r="T143" s="274"/>
      <c r="U143" s="276"/>
      <c r="V143" s="276"/>
      <c r="W143" s="274"/>
      <c r="X143" s="277"/>
      <c r="Y143" s="1"/>
      <c r="Z143" s="5"/>
      <c r="AA143" s="239"/>
      <c r="AB143" s="239"/>
      <c r="AC143" s="240"/>
      <c r="AD143" s="3"/>
      <c r="AE143" s="1"/>
      <c r="AF143" s="1"/>
      <c r="AG143" s="1"/>
      <c r="AH143" s="1"/>
      <c r="AI143" s="1"/>
    </row>
    <row r="144" spans="1:35" x14ac:dyDescent="0.3">
      <c r="A144" s="1"/>
      <c r="B144" s="1"/>
      <c r="C144" s="2"/>
      <c r="D144" s="2"/>
      <c r="E144" s="2"/>
      <c r="F144" s="2"/>
      <c r="G144" s="3"/>
      <c r="H144" s="1"/>
      <c r="I144" s="1"/>
      <c r="J144" s="1"/>
      <c r="K144" s="1"/>
      <c r="L144" s="1"/>
      <c r="M144" s="1"/>
      <c r="N144" s="1"/>
      <c r="O144" s="1"/>
      <c r="P144" s="1"/>
      <c r="Q144" s="4"/>
      <c r="R144" s="4"/>
      <c r="S144" s="1"/>
      <c r="T144" s="1"/>
      <c r="U144" s="5"/>
      <c r="V144" s="5"/>
      <c r="W144" s="1"/>
      <c r="X144" s="241"/>
      <c r="Y144" s="1"/>
      <c r="Z144" s="5"/>
      <c r="AA144" s="239"/>
      <c r="AB144" s="239"/>
      <c r="AC144" s="240"/>
      <c r="AD144" s="3"/>
      <c r="AE144" s="1"/>
      <c r="AF144" s="1"/>
      <c r="AG144" s="1"/>
      <c r="AH144" s="1"/>
      <c r="AI144" s="1"/>
    </row>
    <row r="145" spans="1:35" x14ac:dyDescent="0.3">
      <c r="A145" s="1"/>
      <c r="B145" s="1"/>
      <c r="C145" s="2"/>
      <c r="D145" s="1"/>
      <c r="E145" s="2"/>
      <c r="F145" s="1"/>
      <c r="G145" s="1"/>
      <c r="H145" s="2"/>
      <c r="I145" s="1"/>
      <c r="J145" s="1"/>
      <c r="K145" s="1"/>
      <c r="L145" s="1"/>
      <c r="M145" s="1"/>
      <c r="N145" s="1"/>
      <c r="O145" s="1"/>
      <c r="P145" s="1"/>
      <c r="Q145" s="4"/>
      <c r="R145" s="4"/>
      <c r="S145" s="1"/>
      <c r="T145" s="1"/>
      <c r="U145" s="5"/>
      <c r="V145" s="5"/>
      <c r="W145" s="1"/>
      <c r="X145" s="241"/>
      <c r="Y145" s="1"/>
      <c r="Z145" s="5"/>
      <c r="AA145" s="239"/>
      <c r="AB145" s="239"/>
      <c r="AC145" s="240"/>
      <c r="AD145" s="3"/>
      <c r="AE145" s="1"/>
      <c r="AF145" s="1"/>
      <c r="AG145" s="1"/>
      <c r="AH145" s="1"/>
      <c r="AI145" s="1"/>
    </row>
    <row r="146" spans="1:35" x14ac:dyDescent="0.3">
      <c r="A146" s="1"/>
      <c r="B146" s="1"/>
      <c r="C146" s="2"/>
      <c r="D146" s="2"/>
      <c r="E146" s="2"/>
      <c r="F146" s="2"/>
      <c r="G146" s="3"/>
      <c r="H146" s="1"/>
      <c r="I146" s="502"/>
      <c r="J146" s="509"/>
      <c r="K146" s="502"/>
      <c r="L146" s="502"/>
      <c r="M146" s="502"/>
      <c r="N146" s="6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5"/>
      <c r="AA146" s="239"/>
      <c r="AB146" s="239"/>
      <c r="AC146" s="240"/>
      <c r="AD146" s="3"/>
      <c r="AE146" s="1"/>
      <c r="AF146" s="1"/>
      <c r="AG146" s="1"/>
      <c r="AH146" s="1"/>
      <c r="AI146" s="1"/>
    </row>
    <row r="147" spans="1:35" ht="42" customHeight="1" x14ac:dyDescent="0.3">
      <c r="A147" s="510"/>
      <c r="B147" s="510"/>
      <c r="C147" s="510"/>
      <c r="D147" s="510"/>
      <c r="E147" s="510"/>
      <c r="F147" s="510"/>
      <c r="G147" s="511"/>
      <c r="H147" s="510"/>
      <c r="I147" s="512"/>
      <c r="J147" s="513"/>
      <c r="K147" s="512"/>
      <c r="L147" s="512"/>
      <c r="M147" s="512"/>
      <c r="N147" s="514"/>
      <c r="O147" s="510"/>
      <c r="P147" s="510"/>
      <c r="Q147" s="515"/>
      <c r="R147" s="515"/>
      <c r="S147" s="510"/>
      <c r="T147" s="510"/>
      <c r="U147" s="516"/>
      <c r="V147" s="517" t="s">
        <v>98</v>
      </c>
      <c r="W147" s="518">
        <f>SUM(W115:W145)</f>
        <v>3307007.5239532753</v>
      </c>
      <c r="X147" s="510"/>
      <c r="Y147" s="510"/>
      <c r="Z147" s="519"/>
      <c r="AA147" s="520"/>
      <c r="AB147" s="520"/>
      <c r="AC147" s="521"/>
      <c r="AD147" s="511"/>
      <c r="AE147" s="510"/>
      <c r="AF147" s="510"/>
      <c r="AG147" s="510"/>
      <c r="AH147" s="510"/>
      <c r="AI147" s="510"/>
    </row>
  </sheetData>
  <mergeCells count="123">
    <mergeCell ref="C136:G136"/>
    <mergeCell ref="C138:D139"/>
    <mergeCell ref="I138:N138"/>
    <mergeCell ref="P138:V138"/>
    <mergeCell ref="F139:G139"/>
    <mergeCell ref="C140:D141"/>
    <mergeCell ref="P131:U131"/>
    <mergeCell ref="C132:G133"/>
    <mergeCell ref="I132:N132"/>
    <mergeCell ref="P132:V132"/>
    <mergeCell ref="C134:G135"/>
    <mergeCell ref="O135:P135"/>
    <mergeCell ref="U135:V135"/>
    <mergeCell ref="R115:V116"/>
    <mergeCell ref="W115:W116"/>
    <mergeCell ref="I120:N120"/>
    <mergeCell ref="F122:G123"/>
    <mergeCell ref="F124:G125"/>
    <mergeCell ref="O125:P125"/>
    <mergeCell ref="C107:D108"/>
    <mergeCell ref="F107:G108"/>
    <mergeCell ref="C109:D110"/>
    <mergeCell ref="F109:G110"/>
    <mergeCell ref="O110:P110"/>
    <mergeCell ref="Q115:Q116"/>
    <mergeCell ref="C97:D98"/>
    <mergeCell ref="F97:G98"/>
    <mergeCell ref="C99:D100"/>
    <mergeCell ref="F99:G100"/>
    <mergeCell ref="O103:P103"/>
    <mergeCell ref="I106:N106"/>
    <mergeCell ref="C90:D91"/>
    <mergeCell ref="F90:G91"/>
    <mergeCell ref="C92:D93"/>
    <mergeCell ref="F92:G93"/>
    <mergeCell ref="O93:P93"/>
    <mergeCell ref="I96:N96"/>
    <mergeCell ref="F81:G81"/>
    <mergeCell ref="F82:G82"/>
    <mergeCell ref="F84:G84"/>
    <mergeCell ref="K84:L84"/>
    <mergeCell ref="O84:P84"/>
    <mergeCell ref="I89:N89"/>
    <mergeCell ref="B67:B69"/>
    <mergeCell ref="K73:L73"/>
    <mergeCell ref="K74:L74"/>
    <mergeCell ref="O74:P74"/>
    <mergeCell ref="B76:B80"/>
    <mergeCell ref="I76:N76"/>
    <mergeCell ref="K78:L78"/>
    <mergeCell ref="K79:L79"/>
    <mergeCell ref="O79:P79"/>
    <mergeCell ref="B53:B57"/>
    <mergeCell ref="B59:B61"/>
    <mergeCell ref="O60:P60"/>
    <mergeCell ref="B63:B65"/>
    <mergeCell ref="O64:P64"/>
    <mergeCell ref="Z64:AA64"/>
    <mergeCell ref="C36:G36"/>
    <mergeCell ref="H36:I36"/>
    <mergeCell ref="C39:G39"/>
    <mergeCell ref="H39:I39"/>
    <mergeCell ref="C44:G44"/>
    <mergeCell ref="B47:B49"/>
    <mergeCell ref="C33:G33"/>
    <mergeCell ref="H33:I33"/>
    <mergeCell ref="K33:O33"/>
    <mergeCell ref="P33:Q33"/>
    <mergeCell ref="S33:V33"/>
    <mergeCell ref="H35:I35"/>
    <mergeCell ref="AD26:AE26"/>
    <mergeCell ref="K29:R29"/>
    <mergeCell ref="C31:I31"/>
    <mergeCell ref="K31:Q31"/>
    <mergeCell ref="K32:O32"/>
    <mergeCell ref="P32:Q32"/>
    <mergeCell ref="S32:V32"/>
    <mergeCell ref="H21:I21"/>
    <mergeCell ref="K21:L21"/>
    <mergeCell ref="P21:Q21"/>
    <mergeCell ref="Y21:Z21"/>
    <mergeCell ref="AD21:AE21"/>
    <mergeCell ref="C24:G24"/>
    <mergeCell ref="H24:I24"/>
    <mergeCell ref="P24:Q24"/>
    <mergeCell ref="AD24:AE24"/>
    <mergeCell ref="H16:I16"/>
    <mergeCell ref="K16:L16"/>
    <mergeCell ref="P16:Q16"/>
    <mergeCell ref="Y16:Z16"/>
    <mergeCell ref="AD16:AE16"/>
    <mergeCell ref="H18:I18"/>
    <mergeCell ref="K18:L18"/>
    <mergeCell ref="P18:Q18"/>
    <mergeCell ref="Y18:Z18"/>
    <mergeCell ref="AD18:AE18"/>
    <mergeCell ref="H13:I13"/>
    <mergeCell ref="P13:Q13"/>
    <mergeCell ref="AD13:AE13"/>
    <mergeCell ref="H15:I15"/>
    <mergeCell ref="K15:N15"/>
    <mergeCell ref="S15:U15"/>
    <mergeCell ref="Y15:Z15"/>
    <mergeCell ref="AD11:AE11"/>
    <mergeCell ref="C12:G12"/>
    <mergeCell ref="H12:I12"/>
    <mergeCell ref="K12:O12"/>
    <mergeCell ref="P12:Q12"/>
    <mergeCell ref="S12:V12"/>
    <mergeCell ref="Y12:AC12"/>
    <mergeCell ref="AD12:AE12"/>
    <mergeCell ref="C11:G11"/>
    <mergeCell ref="H11:I11"/>
    <mergeCell ref="K11:O11"/>
    <mergeCell ref="P11:Q11"/>
    <mergeCell ref="S11:V11"/>
    <mergeCell ref="Y11:AC11"/>
    <mergeCell ref="B2:G2"/>
    <mergeCell ref="F3:G3"/>
    <mergeCell ref="F4:G4"/>
    <mergeCell ref="I4:U4"/>
    <mergeCell ref="K8:R8"/>
    <mergeCell ref="C10:I10"/>
  </mergeCells>
  <conditionalFormatting sqref="Q84">
    <cfRule type="expression" dxfId="10" priority="5">
      <formula>ROUND($Q$84,7)=ROUND($N$84,7)</formula>
    </cfRule>
  </conditionalFormatting>
  <conditionalFormatting sqref="Q74">
    <cfRule type="expression" dxfId="9" priority="4">
      <formula>ROUND($Q$74,7)=ROUND($N$74,7)</formula>
    </cfRule>
  </conditionalFormatting>
  <conditionalFormatting sqref="B1">
    <cfRule type="expression" priority="3">
      <formula>$A$1="X"</formula>
    </cfRule>
  </conditionalFormatting>
  <conditionalFormatting sqref="Q79">
    <cfRule type="expression" dxfId="8" priority="2">
      <formula>ROUND(Q79,7)=ROUND(N79,7)</formula>
    </cfRule>
  </conditionalFormatting>
  <conditionalFormatting sqref="W36 P36:Q36">
    <cfRule type="expression" dxfId="7" priority="6">
      <formula>IF(O36="x",N36*P33,"")</formula>
    </cfRule>
  </conditionalFormatting>
  <conditionalFormatting sqref="H18:I18 H36:I36">
    <cfRule type="expression" priority="7">
      <formula>IFERROR(SUM(IF(O18="x",P18,0),IF(V18="x",W18,0),IF(AC18="x",AD18,0)),0)</formula>
    </cfRule>
  </conditionalFormatting>
  <conditionalFormatting sqref="W18 P18:Q18">
    <cfRule type="expression" dxfId="6" priority="8">
      <formula>IF(O18="x",N18*#REF!,"")</formula>
    </cfRule>
  </conditionalFormatting>
  <conditionalFormatting sqref="AD18:AE18">
    <cfRule type="expression" dxfId="5" priority="9">
      <formula>IF(AC18="x",AA18*#REF!,"")</formula>
    </cfRule>
  </conditionalFormatting>
  <conditionalFormatting sqref="W16 P16:Q16">
    <cfRule type="expression" dxfId="4" priority="10">
      <formula>IF(O16="x",N16*#REF!,"")</formula>
    </cfRule>
  </conditionalFormatting>
  <conditionalFormatting sqref="AD16:AE16">
    <cfRule type="expression" dxfId="3" priority="11">
      <formula>IF(AC16="x",AA16*#REF!,"")</formula>
    </cfRule>
  </conditionalFormatting>
  <conditionalFormatting sqref="P21:Q21 W21">
    <cfRule type="expression" dxfId="2" priority="12">
      <formula>IF(O21="x",N21*#REF!,"")</formula>
    </cfRule>
  </conditionalFormatting>
  <conditionalFormatting sqref="AD21:AE21">
    <cfRule type="expression" dxfId="1" priority="13">
      <formula>IF(AC21="x",AA21*#REF!,"")</formula>
    </cfRule>
  </conditionalFormatting>
  <conditionalFormatting sqref="Q103">
    <cfRule type="expression" dxfId="0" priority="1">
      <formula>ROUND($Q$103,7)=ROUND($N$103,7)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2026-02-11T01:59:48Z</dcterms:created>
  <dcterms:modified xsi:type="dcterms:W3CDTF">2026-02-11T02:05:06Z</dcterms:modified>
</cp:coreProperties>
</file>