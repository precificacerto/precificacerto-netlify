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E2542A5F-DC29-4D83-B4EB-F9E884AD446F}" xr6:coauthVersionLast="43" xr6:coauthVersionMax="43" xr10:uidLastSave="{00000000-0000-0000-0000-000000000000}"/>
  <bookViews>
    <workbookView xWindow="-108" yWindow="-108" windowWidth="23256" windowHeight="12456" xr2:uid="{9E05446D-38C5-4487-A34D-D137258C8FA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31" i="1" l="1"/>
  <c r="J29" i="1"/>
  <c r="J28" i="1"/>
  <c r="J27" i="1"/>
  <c r="G124" i="1" s="1"/>
  <c r="J26" i="1"/>
  <c r="J23" i="1"/>
  <c r="G126" i="1"/>
  <c r="C126" i="1"/>
  <c r="G125" i="1"/>
  <c r="C124" i="1"/>
  <c r="G123" i="1"/>
  <c r="C123" i="1"/>
  <c r="C119" i="1"/>
  <c r="G118" i="1"/>
  <c r="G117" i="1"/>
  <c r="G116" i="1"/>
  <c r="G115" i="1"/>
  <c r="I105" i="1"/>
  <c r="H100" i="1"/>
  <c r="H98" i="1"/>
  <c r="H97" i="1"/>
  <c r="F85" i="1"/>
  <c r="F84" i="1"/>
  <c r="E83" i="1"/>
  <c r="H85" i="1" s="1"/>
  <c r="F75" i="1"/>
  <c r="F74" i="1"/>
  <c r="F73" i="1"/>
  <c r="F76" i="1" s="1"/>
  <c r="H55" i="1"/>
  <c r="E53" i="1"/>
  <c r="H54" i="1" s="1"/>
  <c r="H56" i="1" s="1"/>
  <c r="I52" i="1" s="1"/>
  <c r="F46" i="1"/>
  <c r="I39" i="1"/>
  <c r="I90" i="1" s="1"/>
  <c r="C22" i="1"/>
  <c r="I23" i="1" s="1"/>
  <c r="C21" i="1"/>
  <c r="H45" i="1" l="1"/>
  <c r="H75" i="1" s="1"/>
  <c r="I15" i="1"/>
  <c r="I10" i="1"/>
  <c r="I110" i="1" s="1"/>
  <c r="E28" i="1"/>
  <c r="I28" i="1" s="1"/>
  <c r="E26" i="1" s="1"/>
  <c r="I26" i="1" s="1"/>
  <c r="I19" i="1"/>
  <c r="I14" i="1"/>
  <c r="I9" i="1"/>
  <c r="I109" i="1" s="1"/>
  <c r="I18" i="1"/>
  <c r="I13" i="1"/>
  <c r="I8" i="1"/>
  <c r="I108" i="1" s="1"/>
  <c r="E29" i="1"/>
  <c r="I29" i="1" s="1"/>
  <c r="E42" i="1" s="1"/>
  <c r="I17" i="1"/>
  <c r="I12" i="1"/>
  <c r="I7" i="1"/>
  <c r="I107" i="1" s="1"/>
  <c r="H84" i="1"/>
  <c r="H86" i="1" s="1"/>
  <c r="I82" i="1" s="1"/>
  <c r="E47" i="1" l="1"/>
  <c r="E48" i="1" s="1"/>
  <c r="E72" i="1"/>
  <c r="H44" i="1"/>
  <c r="E49" i="1" s="1"/>
  <c r="I88" i="1"/>
  <c r="I58" i="1"/>
  <c r="E27" i="1"/>
  <c r="I27" i="1" s="1"/>
  <c r="I31" i="1" s="1"/>
  <c r="I33" i="1" s="1"/>
  <c r="E77" i="1" l="1"/>
  <c r="E78" i="1" s="1"/>
  <c r="H74" i="1"/>
  <c r="E79" i="1" s="1"/>
  <c r="E50" i="1"/>
  <c r="I41" i="1" s="1"/>
  <c r="I60" i="1" s="1"/>
  <c r="I62" i="1" s="1"/>
  <c r="I67" i="1" l="1"/>
  <c r="I70" i="1"/>
  <c r="E80" i="1"/>
  <c r="I71" i="1" s="1"/>
  <c r="I89" i="1" l="1"/>
  <c r="I91" i="1" s="1"/>
  <c r="I93" i="1" l="1"/>
  <c r="I128" i="1" s="1"/>
  <c r="I92" i="1"/>
  <c r="I97" i="1" l="1"/>
  <c r="I98" i="1"/>
  <c r="I99" i="1" s="1"/>
  <c r="I100" i="1"/>
  <c r="I125" i="1"/>
  <c r="I126" i="1"/>
  <c r="I123" i="1"/>
  <c r="I124" i="1"/>
  <c r="I102" i="1" l="1"/>
  <c r="I106" i="1" s="1"/>
  <c r="I112" i="1" s="1"/>
  <c r="I117" i="1" s="1"/>
  <c r="I116" i="1" l="1"/>
  <c r="I120" i="1" s="1"/>
  <c r="I130" i="1" s="1"/>
  <c r="I118" i="1"/>
  <c r="I115" i="1"/>
</calcChain>
</file>

<file path=xl/sharedStrings.xml><?xml version="1.0" encoding="utf-8"?>
<sst xmlns="http://schemas.openxmlformats.org/spreadsheetml/2006/main" count="129" uniqueCount="84">
  <si>
    <t>Motor de descontos do resultado residual operacional</t>
  </si>
  <si>
    <t>Produto1 CBS/IBS</t>
  </si>
  <si>
    <t>Precificação do produto</t>
  </si>
  <si>
    <t>Custo produto</t>
  </si>
  <si>
    <t>MO Administrativa</t>
  </si>
  <si>
    <t>Desp.fixa</t>
  </si>
  <si>
    <t>Desp. Variável</t>
  </si>
  <si>
    <t>Desp.financeira</t>
  </si>
  <si>
    <t>Comissão</t>
  </si>
  <si>
    <t>Lucro</t>
  </si>
  <si>
    <t>IRPJ</t>
  </si>
  <si>
    <t>CSLL</t>
  </si>
  <si>
    <t>ICMS</t>
  </si>
  <si>
    <t>ISS</t>
  </si>
  <si>
    <t>PIS/COFINS</t>
  </si>
  <si>
    <t>Total das alíquotas</t>
  </si>
  <si>
    <t>Coeficiente da margem de contribuição</t>
  </si>
  <si>
    <t>Operação de venda "por dentro"</t>
  </si>
  <si>
    <t>Calculo por fora</t>
  </si>
  <si>
    <t>IBS</t>
  </si>
  <si>
    <t>BC: (OpDentro - ICMS-PIS/COFINS-ISS)+IS+Desp.Aces</t>
  </si>
  <si>
    <t>CBS</t>
  </si>
  <si>
    <t>IS</t>
  </si>
  <si>
    <t>BC: (OpDentro - ICMS-PIS/COFINS-ISS)+Desp.Aces</t>
  </si>
  <si>
    <t>IPI</t>
  </si>
  <si>
    <t>BC: OpDentro+Desp.Aces</t>
  </si>
  <si>
    <t>Operação de venda "por fora"</t>
  </si>
  <si>
    <t>Total geral de venda (por dentro + por fora)</t>
  </si>
  <si>
    <t>Despesas Acessórias</t>
  </si>
  <si>
    <t>Frete</t>
  </si>
  <si>
    <t>Seguro</t>
  </si>
  <si>
    <t>As Despesas Acessórias integram a base de cálculo do IPI, IBS, CBS e ICMS Complementar conforme legislação.</t>
  </si>
  <si>
    <t>Total acessórias / Fretes  e seguros</t>
  </si>
  <si>
    <t>Acionador</t>
  </si>
  <si>
    <t>ICMS ST</t>
  </si>
  <si>
    <t>x</t>
  </si>
  <si>
    <t>Base</t>
  </si>
  <si>
    <t>BC: (OpDentro+Desp.Aces+IPI)</t>
  </si>
  <si>
    <t xml:space="preserve"> ICMS-ST Presumido</t>
  </si>
  <si>
    <t>MVA Original</t>
  </si>
  <si>
    <t>Alíquota interestadual</t>
  </si>
  <si>
    <t>Alíquota interna destino</t>
  </si>
  <si>
    <t>MVA Ajustada</t>
  </si>
  <si>
    <t>Base presumida</t>
  </si>
  <si>
    <t>ICMS presumido destino</t>
  </si>
  <si>
    <t>BC: (BasePresumixAlíqInterDestin)</t>
  </si>
  <si>
    <t>ICMS Próprio</t>
  </si>
  <si>
    <t>BC: (BasePresumixAlíqInter)</t>
  </si>
  <si>
    <t>BC: (ICMSPresDestino-ICMSProprio)</t>
  </si>
  <si>
    <t>DIFAL</t>
  </si>
  <si>
    <t>ICMS Destino</t>
  </si>
  <si>
    <t>ICMS Interestadual</t>
  </si>
  <si>
    <t>Difal</t>
  </si>
  <si>
    <t>ICMS Complementar</t>
  </si>
  <si>
    <t>BC: (IPI+Desp.Aces)xICMS</t>
  </si>
  <si>
    <t>Alíquotas tributárias adicionais (avançado)</t>
  </si>
  <si>
    <t>Valor  do orçamento</t>
  </si>
  <si>
    <t>Apuração do Resultado Residual Opracional</t>
  </si>
  <si>
    <t>Deduções da operação "por dentro" por etapa, respeitando o efeito cascata</t>
  </si>
  <si>
    <t>Etapa 1</t>
  </si>
  <si>
    <t>Desconto</t>
  </si>
  <si>
    <t>Valor pós desconto</t>
  </si>
  <si>
    <t>ICMS-ST</t>
  </si>
  <si>
    <t>Despesas acessórias</t>
  </si>
  <si>
    <t>Âncora &lt;Operação de venda "por dentro"&gt;</t>
  </si>
  <si>
    <t>Etapa 2</t>
  </si>
  <si>
    <t>Desconto impostos</t>
  </si>
  <si>
    <t>Resultado pós dedução ICMS/ISS</t>
  </si>
  <si>
    <t>Resultado pós dedução impostos por dentro</t>
  </si>
  <si>
    <t>Etapa 3</t>
  </si>
  <si>
    <t>Redução dos custos e despesas</t>
  </si>
  <si>
    <t>Custos</t>
  </si>
  <si>
    <t>Resultado após redução dos custos</t>
  </si>
  <si>
    <t>Resultado residual operacional</t>
  </si>
  <si>
    <t>Etapa 4</t>
  </si>
  <si>
    <t>Redução proporcional</t>
  </si>
  <si>
    <t>Peso</t>
  </si>
  <si>
    <t>Total Operação de venda "por dentro"</t>
  </si>
  <si>
    <t>Operação             "por fora"</t>
  </si>
  <si>
    <t>Impostos por fora</t>
  </si>
  <si>
    <t>Total Operação de venda "por fora"</t>
  </si>
  <si>
    <t>Total operações</t>
  </si>
  <si>
    <t>Resultado do peso (por dentro / valor total)</t>
  </si>
  <si>
    <t>Resultado do peso (por fora / valor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</si>
</sst>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00%"/>
    <numFmt numFmtId="165" formatCode="0.0000%"/>
    <numFmt numFmtId="166" formatCode="0.0000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rgb="FFB42318"/>
      <name val="Segoe UI"/>
      <family val="2"/>
    </font>
    <font>
      <sz val="8"/>
      <color rgb="FFFF0000"/>
      <name val="Calibri"/>
      <family val="2"/>
      <scheme val="minor"/>
    </font>
    <font>
      <sz val="8"/>
      <color rgb="FFFF0000"/>
      <name val="Segoe UI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2"/>
      <color theme="0"/>
      <name val="Segoe UI"/>
      <family val="2"/>
    </font>
    <font>
      <sz val="20"/>
      <color theme="1"/>
      <name val="Calibri"/>
      <family val="2"/>
      <scheme val="minor"/>
    </font>
    <font>
      <b/>
      <sz val="9"/>
      <color rgb="FFFF0000"/>
      <name val="Segoe UI"/>
      <family val="2"/>
    </font>
    <font>
      <b/>
      <sz val="9"/>
      <color theme="0"/>
      <name val="Segoe UI"/>
      <family val="2"/>
    </font>
    <font>
      <b/>
      <sz val="8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C0000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3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164" fontId="5" fillId="0" borderId="0" xfId="2" applyNumberFormat="1" applyFont="1" applyAlignment="1">
      <alignment horizontal="center"/>
    </xf>
    <xf numFmtId="44" fontId="5" fillId="0" borderId="0" xfId="1" applyFont="1"/>
    <xf numFmtId="0" fontId="0" fillId="0" borderId="0" xfId="0" applyAlignment="1">
      <alignment horizontal="center"/>
    </xf>
    <xf numFmtId="164" fontId="0" fillId="0" borderId="0" xfId="2" applyNumberFormat="1" applyFont="1" applyAlignment="1">
      <alignment horizontal="center"/>
    </xf>
    <xf numFmtId="44" fontId="0" fillId="0" borderId="0" xfId="1" applyFont="1"/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2" borderId="1" xfId="0" applyFill="1" applyBorder="1" applyAlignment="1">
      <alignment horizontal="center" vertical="center" textRotation="90"/>
    </xf>
    <xf numFmtId="0" fontId="6" fillId="2" borderId="1" xfId="0" applyFont="1" applyFill="1" applyBorder="1" applyAlignment="1">
      <alignment horizontal="center"/>
    </xf>
    <xf numFmtId="0" fontId="0" fillId="2" borderId="2" xfId="0" applyFill="1" applyBorder="1"/>
    <xf numFmtId="0" fontId="6" fillId="2" borderId="2" xfId="0" applyFont="1" applyFill="1" applyBorder="1"/>
    <xf numFmtId="0" fontId="0" fillId="2" borderId="2" xfId="0" applyFill="1" applyBorder="1" applyAlignment="1">
      <alignment horizontal="center"/>
    </xf>
    <xf numFmtId="164" fontId="0" fillId="2" borderId="2" xfId="2" applyNumberFormat="1" applyFont="1" applyFill="1" applyBorder="1" applyAlignment="1">
      <alignment horizontal="center"/>
    </xf>
    <xf numFmtId="4" fontId="8" fillId="0" borderId="0" xfId="0" applyNumberFormat="1" applyFont="1"/>
    <xf numFmtId="0" fontId="0" fillId="2" borderId="4" xfId="0" applyFill="1" applyBorder="1" applyAlignment="1">
      <alignment horizontal="center" vertical="center" textRotation="90"/>
    </xf>
    <xf numFmtId="0" fontId="6" fillId="2" borderId="4" xfId="0" applyFont="1" applyFill="1" applyBorder="1" applyAlignment="1">
      <alignment horizontal="center"/>
    </xf>
    <xf numFmtId="0" fontId="0" fillId="2" borderId="0" xfId="0" applyFill="1"/>
    <xf numFmtId="0" fontId="6" fillId="2" borderId="0" xfId="0" applyFont="1" applyFill="1"/>
    <xf numFmtId="0" fontId="0" fillId="2" borderId="0" xfId="0" applyFill="1" applyAlignment="1">
      <alignment horizontal="center"/>
    </xf>
    <xf numFmtId="164" fontId="0" fillId="2" borderId="0" xfId="2" applyNumberFormat="1" applyFont="1" applyFill="1" applyAlignment="1">
      <alignment horizontal="center"/>
    </xf>
    <xf numFmtId="44" fontId="0" fillId="2" borderId="5" xfId="1" applyFont="1" applyFill="1" applyBorder="1"/>
    <xf numFmtId="164" fontId="6" fillId="2" borderId="4" xfId="2" applyNumberFormat="1" applyFont="1" applyFill="1" applyBorder="1" applyAlignment="1">
      <alignment horizontal="center"/>
    </xf>
    <xf numFmtId="0" fontId="3" fillId="2" borderId="0" xfId="0" applyFont="1" applyFill="1"/>
    <xf numFmtId="0" fontId="9" fillId="2" borderId="0" xfId="0" applyFont="1" applyFill="1"/>
    <xf numFmtId="0" fontId="3" fillId="2" borderId="0" xfId="0" applyFont="1" applyFill="1" applyAlignment="1">
      <alignment horizontal="center"/>
    </xf>
    <xf numFmtId="164" fontId="3" fillId="2" borderId="0" xfId="2" applyNumberFormat="1" applyFont="1" applyFill="1" applyAlignment="1">
      <alignment horizontal="center"/>
    </xf>
    <xf numFmtId="44" fontId="10" fillId="3" borderId="5" xfId="1" applyFont="1" applyFill="1" applyBorder="1"/>
    <xf numFmtId="9" fontId="6" fillId="0" borderId="6" xfId="2" applyFont="1" applyBorder="1" applyAlignment="1">
      <alignment horizontal="center"/>
    </xf>
    <xf numFmtId="44" fontId="0" fillId="0" borderId="5" xfId="1" applyFont="1" applyBorder="1"/>
    <xf numFmtId="10" fontId="6" fillId="2" borderId="6" xfId="2" applyNumberFormat="1" applyFont="1" applyFill="1" applyBorder="1" applyAlignment="1">
      <alignment horizontal="center"/>
    </xf>
    <xf numFmtId="0" fontId="6" fillId="2" borderId="7" xfId="0" applyFont="1" applyFill="1" applyBorder="1"/>
    <xf numFmtId="164" fontId="6" fillId="2" borderId="0" xfId="2" applyNumberFormat="1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0" fillId="2" borderId="6" xfId="0" applyFill="1" applyBorder="1" applyAlignment="1">
      <alignment horizontal="center" vertical="center" textRotation="90"/>
    </xf>
    <xf numFmtId="0" fontId="6" fillId="2" borderId="6" xfId="0" applyFont="1" applyFill="1" applyBorder="1" applyAlignment="1">
      <alignment horizontal="center"/>
    </xf>
    <xf numFmtId="0" fontId="0" fillId="2" borderId="7" xfId="0" applyFill="1" applyBorder="1"/>
    <xf numFmtId="0" fontId="0" fillId="2" borderId="7" xfId="0" applyFill="1" applyBorder="1" applyAlignment="1">
      <alignment horizontal="center"/>
    </xf>
    <xf numFmtId="164" fontId="0" fillId="2" borderId="7" xfId="2" applyNumberFormat="1" applyFont="1" applyFill="1" applyBorder="1" applyAlignment="1">
      <alignment horizontal="right"/>
    </xf>
    <xf numFmtId="44" fontId="0" fillId="2" borderId="8" xfId="1" applyFont="1" applyFill="1" applyBorder="1"/>
    <xf numFmtId="0" fontId="6" fillId="0" borderId="4" xfId="0" applyFont="1" applyBorder="1" applyAlignment="1">
      <alignment horizontal="center"/>
    </xf>
    <xf numFmtId="0" fontId="0" fillId="4" borderId="0" xfId="0" applyFill="1"/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44" fontId="0" fillId="4" borderId="5" xfId="1" applyFont="1" applyFill="1" applyBorder="1"/>
    <xf numFmtId="164" fontId="6" fillId="4" borderId="4" xfId="2" applyNumberFormat="1" applyFont="1" applyFill="1" applyBorder="1" applyAlignment="1">
      <alignment horizontal="center"/>
    </xf>
    <xf numFmtId="44" fontId="6" fillId="4" borderId="0" xfId="0" applyNumberFormat="1" applyFont="1" applyFill="1"/>
    <xf numFmtId="0" fontId="0" fillId="4" borderId="0" xfId="0" applyFill="1" applyAlignment="1">
      <alignment horizontal="center"/>
    </xf>
    <xf numFmtId="164" fontId="6" fillId="4" borderId="0" xfId="2" applyNumberFormat="1" applyFont="1" applyFill="1" applyAlignment="1">
      <alignment horizontal="right"/>
    </xf>
    <xf numFmtId="0" fontId="6" fillId="4" borderId="0" xfId="0" applyFont="1" applyFill="1"/>
    <xf numFmtId="0" fontId="6" fillId="4" borderId="4" xfId="0" applyFont="1" applyFill="1" applyBorder="1" applyAlignment="1">
      <alignment horizontal="center"/>
    </xf>
    <xf numFmtId="164" fontId="0" fillId="4" borderId="0" xfId="2" applyNumberFormat="1" applyFont="1" applyFill="1" applyAlignment="1">
      <alignment horizontal="right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/>
    </xf>
    <xf numFmtId="164" fontId="11" fillId="0" borderId="0" xfId="2" applyNumberFormat="1" applyFont="1" applyAlignment="1">
      <alignment horizontal="right"/>
    </xf>
    <xf numFmtId="44" fontId="11" fillId="0" borderId="5" xfId="1" applyFont="1" applyBorder="1"/>
    <xf numFmtId="0" fontId="0" fillId="3" borderId="1" xfId="0" applyFill="1" applyBorder="1"/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44" fontId="0" fillId="3" borderId="3" xfId="1" applyFont="1" applyFill="1" applyBorder="1"/>
    <xf numFmtId="0" fontId="0" fillId="3" borderId="4" xfId="0" applyFill="1" applyBorder="1"/>
    <xf numFmtId="0" fontId="6" fillId="3" borderId="4" xfId="0" applyFont="1" applyFill="1" applyBorder="1" applyAlignment="1">
      <alignment horizontal="center"/>
    </xf>
    <xf numFmtId="0" fontId="0" fillId="3" borderId="0" xfId="0" applyFill="1"/>
    <xf numFmtId="0" fontId="6" fillId="3" borderId="0" xfId="0" applyFont="1" applyFill="1"/>
    <xf numFmtId="0" fontId="0" fillId="3" borderId="0" xfId="0" applyFill="1" applyAlignment="1">
      <alignment horizontal="center"/>
    </xf>
    <xf numFmtId="164" fontId="0" fillId="3" borderId="0" xfId="2" applyNumberFormat="1" applyFont="1" applyFill="1" applyAlignment="1">
      <alignment horizontal="center"/>
    </xf>
    <xf numFmtId="44" fontId="0" fillId="3" borderId="5" xfId="1" applyFont="1" applyFill="1" applyBorder="1"/>
    <xf numFmtId="0" fontId="6" fillId="3" borderId="0" xfId="0" applyFont="1" applyFill="1" applyAlignment="1">
      <alignment horizontal="right"/>
    </xf>
    <xf numFmtId="0" fontId="0" fillId="3" borderId="7" xfId="0" applyFill="1" applyBorder="1"/>
    <xf numFmtId="0" fontId="6" fillId="3" borderId="7" xfId="0" applyFont="1" applyFill="1" applyBorder="1"/>
    <xf numFmtId="0" fontId="0" fillId="3" borderId="7" xfId="0" applyFill="1" applyBorder="1" applyAlignment="1">
      <alignment horizontal="center"/>
    </xf>
    <xf numFmtId="0" fontId="6" fillId="3" borderId="7" xfId="0" applyFont="1" applyFill="1" applyBorder="1" applyAlignment="1">
      <alignment horizontal="right"/>
    </xf>
    <xf numFmtId="44" fontId="0" fillId="3" borderId="8" xfId="1" applyFont="1" applyFill="1" applyBorder="1"/>
    <xf numFmtId="0" fontId="0" fillId="3" borderId="6" xfId="0" applyFill="1" applyBorder="1"/>
    <xf numFmtId="164" fontId="0" fillId="3" borderId="7" xfId="2" applyNumberFormat="1" applyFont="1" applyFill="1" applyBorder="1" applyAlignment="1">
      <alignment horizontal="right"/>
    </xf>
    <xf numFmtId="164" fontId="0" fillId="0" borderId="0" xfId="2" applyNumberFormat="1" applyFont="1" applyAlignment="1">
      <alignment horizontal="right"/>
    </xf>
    <xf numFmtId="164" fontId="6" fillId="4" borderId="9" xfId="2" applyNumberFormat="1" applyFont="1" applyFill="1" applyBorder="1" applyAlignment="1">
      <alignment horizontal="center"/>
    </xf>
    <xf numFmtId="164" fontId="0" fillId="4" borderId="0" xfId="2" applyNumberFormat="1" applyFont="1" applyFill="1" applyAlignment="1">
      <alignment horizontal="center"/>
    </xf>
    <xf numFmtId="44" fontId="0" fillId="4" borderId="0" xfId="1" applyFont="1" applyFill="1"/>
    <xf numFmtId="164" fontId="6" fillId="4" borderId="10" xfId="2" applyNumberFormat="1" applyFont="1" applyFill="1" applyBorder="1" applyAlignment="1">
      <alignment horizontal="center"/>
    </xf>
    <xf numFmtId="44" fontId="6" fillId="4" borderId="5" xfId="1" applyFont="1" applyFill="1" applyBorder="1"/>
    <xf numFmtId="10" fontId="6" fillId="4" borderId="0" xfId="2" applyNumberFormat="1" applyFont="1" applyFill="1" applyAlignment="1">
      <alignment horizontal="center"/>
    </xf>
    <xf numFmtId="0" fontId="6" fillId="4" borderId="0" xfId="0" applyFont="1" applyFill="1" applyAlignment="1">
      <alignment horizontal="right"/>
    </xf>
    <xf numFmtId="44" fontId="6" fillId="4" borderId="0" xfId="1" applyFont="1" applyFill="1" applyAlignment="1">
      <alignment horizontal="center"/>
    </xf>
    <xf numFmtId="165" fontId="6" fillId="4" borderId="0" xfId="2" applyNumberFormat="1" applyFont="1" applyFill="1" applyAlignment="1">
      <alignment horizontal="center"/>
    </xf>
    <xf numFmtId="44" fontId="6" fillId="4" borderId="0" xfId="1" applyFont="1" applyFill="1" applyAlignment="1">
      <alignment horizontal="right"/>
    </xf>
    <xf numFmtId="0" fontId="6" fillId="4" borderId="7" xfId="0" applyFont="1" applyFill="1" applyBorder="1"/>
    <xf numFmtId="44" fontId="6" fillId="4" borderId="7" xfId="0" applyNumberFormat="1" applyFont="1" applyFill="1" applyBorder="1"/>
    <xf numFmtId="0" fontId="0" fillId="4" borderId="7" xfId="0" applyFill="1" applyBorder="1"/>
    <xf numFmtId="0" fontId="0" fillId="4" borderId="7" xfId="0" applyFill="1" applyBorder="1" applyAlignment="1">
      <alignment horizontal="center"/>
    </xf>
    <xf numFmtId="164" fontId="6" fillId="4" borderId="7" xfId="2" applyNumberFormat="1" applyFont="1" applyFill="1" applyBorder="1" applyAlignment="1">
      <alignment horizontal="right"/>
    </xf>
    <xf numFmtId="10" fontId="6" fillId="4" borderId="0" xfId="2" applyNumberFormat="1" applyFont="1" applyFill="1"/>
    <xf numFmtId="10" fontId="6" fillId="4" borderId="7" xfId="2" applyNumberFormat="1" applyFont="1" applyFill="1" applyBorder="1" applyAlignment="1">
      <alignment horizontal="center"/>
    </xf>
    <xf numFmtId="44" fontId="6" fillId="4" borderId="7" xfId="1" applyFont="1" applyFill="1" applyBorder="1" applyAlignment="1">
      <alignment horizontal="center"/>
    </xf>
    <xf numFmtId="44" fontId="6" fillId="4" borderId="0" xfId="1" applyFont="1" applyFill="1"/>
    <xf numFmtId="10" fontId="6" fillId="4" borderId="0" xfId="2" applyNumberFormat="1" applyFont="1" applyFill="1" applyAlignment="1">
      <alignment horizontal="center"/>
    </xf>
    <xf numFmtId="0" fontId="0" fillId="5" borderId="6" xfId="0" applyFill="1" applyBorder="1"/>
    <xf numFmtId="0" fontId="6" fillId="5" borderId="6" xfId="0" applyFont="1" applyFill="1" applyBorder="1" applyAlignment="1">
      <alignment horizontal="center"/>
    </xf>
    <xf numFmtId="0" fontId="0" fillId="5" borderId="0" xfId="0" applyFill="1"/>
    <xf numFmtId="0" fontId="6" fillId="5" borderId="0" xfId="0" applyFont="1" applyFill="1"/>
    <xf numFmtId="0" fontId="0" fillId="5" borderId="7" xfId="0" applyFill="1" applyBorder="1"/>
    <xf numFmtId="0" fontId="0" fillId="5" borderId="7" xfId="0" applyFill="1" applyBorder="1" applyAlignment="1">
      <alignment horizontal="center"/>
    </xf>
    <xf numFmtId="164" fontId="6" fillId="5" borderId="0" xfId="2" applyNumberFormat="1" applyFont="1" applyFill="1" applyAlignment="1">
      <alignment horizontal="right"/>
    </xf>
    <xf numFmtId="44" fontId="0" fillId="5" borderId="8" xfId="1" applyFont="1" applyFill="1" applyBorder="1"/>
    <xf numFmtId="0" fontId="13" fillId="4" borderId="0" xfId="0" applyFont="1" applyFill="1" applyAlignment="1">
      <alignment horizontal="right"/>
    </xf>
    <xf numFmtId="0" fontId="0" fillId="6" borderId="0" xfId="0" applyFill="1"/>
    <xf numFmtId="0" fontId="6" fillId="6" borderId="4" xfId="0" applyFont="1" applyFill="1" applyBorder="1" applyAlignment="1">
      <alignment horizontal="center"/>
    </xf>
    <xf numFmtId="0" fontId="4" fillId="6" borderId="0" xfId="0" applyFont="1" applyFill="1"/>
    <xf numFmtId="0" fontId="14" fillId="6" borderId="0" xfId="0" applyFont="1" applyFill="1"/>
    <xf numFmtId="0" fontId="4" fillId="6" borderId="0" xfId="0" applyFont="1" applyFill="1" applyAlignment="1">
      <alignment horizontal="center"/>
    </xf>
    <xf numFmtId="44" fontId="4" fillId="6" borderId="0" xfId="1" applyFont="1" applyFill="1" applyAlignment="1">
      <alignment horizontal="center"/>
    </xf>
    <xf numFmtId="44" fontId="15" fillId="6" borderId="5" xfId="1" applyFont="1" applyFill="1" applyBorder="1"/>
    <xf numFmtId="0" fontId="4" fillId="0" borderId="0" xfId="0" applyFont="1"/>
    <xf numFmtId="0" fontId="14" fillId="0" borderId="0" xfId="0" applyFont="1"/>
    <xf numFmtId="0" fontId="4" fillId="0" borderId="0" xfId="0" applyFont="1" applyAlignment="1">
      <alignment horizontal="center"/>
    </xf>
    <xf numFmtId="44" fontId="4" fillId="0" borderId="0" xfId="1" applyFont="1" applyAlignment="1">
      <alignment horizontal="center"/>
    </xf>
    <xf numFmtId="44" fontId="15" fillId="0" borderId="5" xfId="1" applyFont="1" applyBorder="1"/>
    <xf numFmtId="0" fontId="7" fillId="7" borderId="0" xfId="0" applyFont="1" applyFill="1" applyAlignment="1">
      <alignment horizontal="center" vertical="center"/>
    </xf>
    <xf numFmtId="0" fontId="16" fillId="0" borderId="1" xfId="0" applyFont="1" applyBorder="1" applyAlignment="1">
      <alignment horizontal="center" vertical="center" textRotation="90" wrapText="1"/>
    </xf>
    <xf numFmtId="0" fontId="14" fillId="8" borderId="4" xfId="0" applyFont="1" applyFill="1" applyBorder="1" applyAlignment="1">
      <alignment horizontal="center"/>
    </xf>
    <xf numFmtId="0" fontId="4" fillId="8" borderId="0" xfId="0" applyFont="1" applyFill="1"/>
    <xf numFmtId="0" fontId="14" fillId="8" borderId="0" xfId="0" applyFont="1" applyFill="1"/>
    <xf numFmtId="0" fontId="4" fillId="8" borderId="0" xfId="0" applyFont="1" applyFill="1" applyAlignment="1">
      <alignment horizontal="center"/>
    </xf>
    <xf numFmtId="164" fontId="4" fillId="8" borderId="0" xfId="2" applyNumberFormat="1" applyFont="1" applyFill="1" applyAlignment="1">
      <alignment horizontal="center"/>
    </xf>
    <xf numFmtId="9" fontId="4" fillId="8" borderId="5" xfId="2" applyFont="1" applyFill="1" applyBorder="1"/>
    <xf numFmtId="0" fontId="16" fillId="0" borderId="4" xfId="0" applyFont="1" applyBorder="1" applyAlignment="1">
      <alignment horizontal="center" vertical="center" textRotation="90" wrapText="1"/>
    </xf>
    <xf numFmtId="0" fontId="6" fillId="9" borderId="4" xfId="0" applyFont="1" applyFill="1" applyBorder="1" applyAlignment="1">
      <alignment horizontal="center"/>
    </xf>
    <xf numFmtId="0" fontId="4" fillId="9" borderId="0" xfId="0" applyFont="1" applyFill="1"/>
    <xf numFmtId="0" fontId="14" fillId="9" borderId="0" xfId="0" applyFont="1" applyFill="1"/>
    <xf numFmtId="0" fontId="4" fillId="9" borderId="0" xfId="0" applyFont="1" applyFill="1" applyAlignment="1">
      <alignment horizontal="center"/>
    </xf>
    <xf numFmtId="164" fontId="4" fillId="9" borderId="0" xfId="2" applyNumberFormat="1" applyFont="1" applyFill="1" applyAlignment="1">
      <alignment horizontal="center"/>
    </xf>
    <xf numFmtId="44" fontId="4" fillId="9" borderId="5" xfId="1" applyFont="1" applyFill="1" applyBorder="1"/>
    <xf numFmtId="0" fontId="6" fillId="10" borderId="4" xfId="0" applyFont="1" applyFill="1" applyBorder="1" applyAlignment="1">
      <alignment horizontal="center"/>
    </xf>
    <xf numFmtId="0" fontId="0" fillId="10" borderId="0" xfId="0" applyFill="1"/>
    <xf numFmtId="0" fontId="6" fillId="10" borderId="0" xfId="0" applyFont="1" applyFill="1"/>
    <xf numFmtId="44" fontId="6" fillId="10" borderId="0" xfId="1" applyFont="1" applyFill="1" applyAlignment="1">
      <alignment horizontal="center"/>
    </xf>
    <xf numFmtId="44" fontId="0" fillId="10" borderId="0" xfId="1" applyFont="1" applyFill="1"/>
    <xf numFmtId="0" fontId="6" fillId="5" borderId="4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44" fontId="0" fillId="5" borderId="5" xfId="1" applyFont="1" applyFill="1" applyBorder="1"/>
    <xf numFmtId="0" fontId="14" fillId="9" borderId="4" xfId="0" applyFont="1" applyFill="1" applyBorder="1" applyAlignment="1">
      <alignment horizontal="center"/>
    </xf>
    <xf numFmtId="164" fontId="14" fillId="9" borderId="0" xfId="2" applyNumberFormat="1" applyFont="1" applyFill="1" applyAlignment="1">
      <alignment horizontal="right"/>
    </xf>
    <xf numFmtId="0" fontId="0" fillId="10" borderId="0" xfId="0" applyFill="1" applyAlignment="1">
      <alignment horizontal="center"/>
    </xf>
    <xf numFmtId="164" fontId="0" fillId="10" borderId="0" xfId="2" applyNumberFormat="1" applyFont="1" applyFill="1" applyAlignment="1">
      <alignment horizontal="right"/>
    </xf>
    <xf numFmtId="44" fontId="0" fillId="10" borderId="5" xfId="1" applyFont="1" applyFill="1" applyBorder="1"/>
    <xf numFmtId="0" fontId="4" fillId="11" borderId="0" xfId="0" applyFont="1" applyFill="1"/>
    <xf numFmtId="0" fontId="14" fillId="11" borderId="0" xfId="0" applyFont="1" applyFill="1"/>
    <xf numFmtId="0" fontId="14" fillId="11" borderId="0" xfId="0" applyFont="1" applyFill="1" applyAlignment="1">
      <alignment horizontal="center"/>
    </xf>
    <xf numFmtId="164" fontId="14" fillId="11" borderId="7" xfId="2" applyNumberFormat="1" applyFont="1" applyFill="1" applyBorder="1" applyAlignment="1">
      <alignment horizontal="right"/>
    </xf>
    <xf numFmtId="44" fontId="14" fillId="11" borderId="5" xfId="1" applyFont="1" applyFill="1" applyBorder="1"/>
    <xf numFmtId="164" fontId="14" fillId="11" borderId="0" xfId="2" applyNumberFormat="1" applyFont="1" applyFill="1" applyAlignment="1">
      <alignment horizontal="right"/>
    </xf>
    <xf numFmtId="0" fontId="4" fillId="11" borderId="0" xfId="0" applyFont="1" applyFill="1" applyAlignment="1">
      <alignment horizontal="center"/>
    </xf>
    <xf numFmtId="164" fontId="4" fillId="11" borderId="0" xfId="2" applyNumberFormat="1" applyFont="1" applyFill="1" applyAlignment="1">
      <alignment horizontal="center"/>
    </xf>
    <xf numFmtId="44" fontId="4" fillId="11" borderId="5" xfId="1" applyFont="1" applyFill="1" applyBorder="1"/>
    <xf numFmtId="0" fontId="6" fillId="12" borderId="4" xfId="0" applyFont="1" applyFill="1" applyBorder="1" applyAlignment="1">
      <alignment horizontal="center"/>
    </xf>
    <xf numFmtId="0" fontId="0" fillId="12" borderId="0" xfId="0" applyFill="1"/>
    <xf numFmtId="0" fontId="6" fillId="12" borderId="0" xfId="0" applyFont="1" applyFill="1"/>
    <xf numFmtId="0" fontId="0" fillId="12" borderId="0" xfId="0" applyFill="1" applyAlignment="1">
      <alignment horizontal="center"/>
    </xf>
    <xf numFmtId="164" fontId="0" fillId="12" borderId="0" xfId="2" applyNumberFormat="1" applyFont="1" applyFill="1" applyAlignment="1">
      <alignment horizontal="center"/>
    </xf>
    <xf numFmtId="44" fontId="0" fillId="12" borderId="5" xfId="1" applyFont="1" applyFill="1" applyBorder="1"/>
    <xf numFmtId="0" fontId="3" fillId="12" borderId="0" xfId="0" applyFont="1" applyFill="1"/>
    <xf numFmtId="0" fontId="9" fillId="12" borderId="0" xfId="0" applyFont="1" applyFill="1"/>
    <xf numFmtId="0" fontId="9" fillId="12" borderId="0" xfId="0" applyFont="1" applyFill="1" applyAlignment="1">
      <alignment horizontal="right"/>
    </xf>
    <xf numFmtId="164" fontId="9" fillId="12" borderId="0" xfId="2" applyNumberFormat="1" applyFont="1" applyFill="1" applyAlignment="1">
      <alignment horizontal="center"/>
    </xf>
    <xf numFmtId="44" fontId="3" fillId="12" borderId="5" xfId="1" applyFont="1" applyFill="1" applyBorder="1"/>
    <xf numFmtId="164" fontId="14" fillId="9" borderId="0" xfId="2" applyNumberFormat="1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44" fontId="3" fillId="0" borderId="5" xfId="1" applyFont="1" applyBorder="1"/>
    <xf numFmtId="0" fontId="3" fillId="3" borderId="0" xfId="0" applyFont="1" applyFill="1"/>
    <xf numFmtId="0" fontId="9" fillId="3" borderId="0" xfId="0" applyFont="1" applyFill="1"/>
    <xf numFmtId="0" fontId="3" fillId="3" borderId="0" xfId="0" applyFont="1" applyFill="1" applyAlignment="1">
      <alignment horizontal="center"/>
    </xf>
    <xf numFmtId="164" fontId="3" fillId="3" borderId="0" xfId="2" applyNumberFormat="1" applyFont="1" applyFill="1" applyAlignment="1">
      <alignment horizontal="center"/>
    </xf>
    <xf numFmtId="4" fontId="17" fillId="3" borderId="5" xfId="0" applyNumberFormat="1" applyFont="1" applyFill="1" applyBorder="1"/>
    <xf numFmtId="4" fontId="18" fillId="9" borderId="5" xfId="0" applyNumberFormat="1" applyFont="1" applyFill="1" applyBorder="1"/>
    <xf numFmtId="4" fontId="10" fillId="3" borderId="5" xfId="0" applyNumberFormat="1" applyFont="1" applyFill="1" applyBorder="1"/>
    <xf numFmtId="0" fontId="3" fillId="0" borderId="0" xfId="0" applyFont="1"/>
    <xf numFmtId="0" fontId="9" fillId="0" borderId="0" xfId="0" applyFont="1"/>
    <xf numFmtId="0" fontId="3" fillId="0" borderId="0" xfId="0" applyFont="1" applyAlignment="1">
      <alignment horizontal="center"/>
    </xf>
    <xf numFmtId="164" fontId="3" fillId="0" borderId="0" xfId="2" applyNumberFormat="1" applyFont="1" applyAlignment="1">
      <alignment horizontal="center"/>
    </xf>
    <xf numFmtId="0" fontId="6" fillId="13" borderId="4" xfId="0" applyFont="1" applyFill="1" applyBorder="1" applyAlignment="1">
      <alignment horizontal="center"/>
    </xf>
    <xf numFmtId="0" fontId="2" fillId="13" borderId="0" xfId="0" applyFont="1" applyFill="1"/>
    <xf numFmtId="0" fontId="19" fillId="13" borderId="0" xfId="0" applyFont="1" applyFill="1"/>
    <xf numFmtId="0" fontId="2" fillId="13" borderId="0" xfId="0" applyFont="1" applyFill="1" applyAlignment="1">
      <alignment horizontal="center"/>
    </xf>
    <xf numFmtId="164" fontId="4" fillId="13" borderId="0" xfId="2" applyNumberFormat="1" applyFont="1" applyFill="1" applyAlignment="1">
      <alignment horizontal="center"/>
    </xf>
    <xf numFmtId="44" fontId="2" fillId="13" borderId="5" xfId="1" applyFont="1" applyFill="1" applyBorder="1"/>
    <xf numFmtId="0" fontId="6" fillId="14" borderId="4" xfId="0" applyFont="1" applyFill="1" applyBorder="1" applyAlignment="1">
      <alignment horizontal="center"/>
    </xf>
    <xf numFmtId="0" fontId="0" fillId="14" borderId="0" xfId="0" applyFill="1"/>
    <xf numFmtId="0" fontId="6" fillId="14" borderId="0" xfId="0" applyFont="1" applyFill="1"/>
    <xf numFmtId="0" fontId="0" fillId="14" borderId="0" xfId="0" applyFill="1" applyAlignment="1">
      <alignment horizontal="center"/>
    </xf>
    <xf numFmtId="164" fontId="0" fillId="14" borderId="0" xfId="2" applyNumberFormat="1" applyFont="1" applyFill="1" applyAlignment="1">
      <alignment horizontal="center"/>
    </xf>
    <xf numFmtId="44" fontId="0" fillId="14" borderId="5" xfId="1" applyFont="1" applyFill="1" applyBorder="1"/>
    <xf numFmtId="10" fontId="6" fillId="14" borderId="0" xfId="2" applyNumberFormat="1" applyFont="1" applyFill="1" applyAlignment="1">
      <alignment horizontal="center"/>
    </xf>
    <xf numFmtId="164" fontId="6" fillId="14" borderId="0" xfId="2" applyNumberFormat="1" applyFont="1" applyFill="1" applyAlignment="1">
      <alignment horizontal="center"/>
    </xf>
    <xf numFmtId="0" fontId="6" fillId="14" borderId="0" xfId="2" applyNumberFormat="1" applyFont="1" applyFill="1" applyAlignment="1">
      <alignment horizontal="center"/>
    </xf>
    <xf numFmtId="0" fontId="16" fillId="0" borderId="6" xfId="0" applyFont="1" applyBorder="1" applyAlignment="1">
      <alignment horizontal="center" vertical="center" textRotation="90" wrapText="1"/>
    </xf>
    <xf numFmtId="0" fontId="12" fillId="15" borderId="4" xfId="0" applyFont="1" applyFill="1" applyBorder="1" applyAlignment="1">
      <alignment horizontal="center"/>
    </xf>
    <xf numFmtId="0" fontId="11" fillId="15" borderId="0" xfId="0" applyFont="1" applyFill="1"/>
    <xf numFmtId="0" fontId="12" fillId="15" borderId="0" xfId="0" applyFont="1" applyFill="1"/>
    <xf numFmtId="0" fontId="11" fillId="15" borderId="0" xfId="0" applyFont="1" applyFill="1" applyAlignment="1">
      <alignment horizontal="center"/>
    </xf>
    <xf numFmtId="164" fontId="20" fillId="16" borderId="7" xfId="0" applyNumberFormat="1" applyFont="1" applyFill="1" applyBorder="1" applyAlignment="1">
      <alignment horizontal="right"/>
    </xf>
    <xf numFmtId="44" fontId="11" fillId="15" borderId="5" xfId="1" applyFont="1" applyFill="1" applyBorder="1"/>
    <xf numFmtId="0" fontId="16" fillId="0" borderId="0" xfId="0" applyFont="1" applyAlignment="1">
      <alignment vertical="center" textRotation="90"/>
    </xf>
    <xf numFmtId="0" fontId="6" fillId="17" borderId="4" xfId="0" applyFont="1" applyFill="1" applyBorder="1" applyAlignment="1">
      <alignment horizontal="center"/>
    </xf>
    <xf numFmtId="0" fontId="21" fillId="17" borderId="0" xfId="0" applyFont="1" applyFill="1" applyAlignment="1">
      <alignment horizontal="center"/>
    </xf>
    <xf numFmtId="0" fontId="21" fillId="17" borderId="5" xfId="0" applyFont="1" applyFill="1" applyBorder="1" applyAlignment="1">
      <alignment horizontal="center"/>
    </xf>
    <xf numFmtId="164" fontId="14" fillId="17" borderId="4" xfId="2" applyNumberFormat="1" applyFont="1" applyFill="1" applyBorder="1" applyAlignment="1">
      <alignment horizontal="center"/>
    </xf>
    <xf numFmtId="0" fontId="4" fillId="17" borderId="0" xfId="0" applyFont="1" applyFill="1"/>
    <xf numFmtId="0" fontId="14" fillId="17" borderId="0" xfId="0" applyFont="1" applyFill="1"/>
    <xf numFmtId="164" fontId="14" fillId="17" borderId="0" xfId="2" applyNumberFormat="1" applyFont="1" applyFill="1"/>
    <xf numFmtId="44" fontId="4" fillId="17" borderId="0" xfId="0" applyNumberFormat="1" applyFont="1" applyFill="1"/>
    <xf numFmtId="44" fontId="4" fillId="17" borderId="5" xfId="1" applyFont="1" applyFill="1" applyBorder="1"/>
    <xf numFmtId="164" fontId="4" fillId="17" borderId="0" xfId="2" applyNumberFormat="1" applyFont="1" applyFill="1" applyAlignment="1">
      <alignment horizontal="center"/>
    </xf>
    <xf numFmtId="10" fontId="14" fillId="17" borderId="0" xfId="2" applyNumberFormat="1" applyFont="1" applyFill="1" applyAlignment="1">
      <alignment horizontal="center"/>
    </xf>
    <xf numFmtId="44" fontId="14" fillId="17" borderId="0" xfId="1" applyFont="1" applyFill="1" applyAlignment="1">
      <alignment horizontal="center"/>
    </xf>
    <xf numFmtId="44" fontId="0" fillId="17" borderId="5" xfId="1" applyFont="1" applyFill="1" applyBorder="1"/>
    <xf numFmtId="0" fontId="14" fillId="8" borderId="6" xfId="0" applyFont="1" applyFill="1" applyBorder="1" applyAlignment="1">
      <alignment horizontal="center"/>
    </xf>
    <xf numFmtId="0" fontId="4" fillId="8" borderId="7" xfId="0" applyFont="1" applyFill="1" applyBorder="1"/>
    <xf numFmtId="0" fontId="14" fillId="8" borderId="7" xfId="0" applyFont="1" applyFill="1" applyBorder="1"/>
    <xf numFmtId="0" fontId="4" fillId="8" borderId="7" xfId="0" applyFont="1" applyFill="1" applyBorder="1" applyAlignment="1">
      <alignment horizontal="center"/>
    </xf>
    <xf numFmtId="164" fontId="4" fillId="18" borderId="7" xfId="0" applyNumberFormat="1" applyFont="1" applyFill="1" applyBorder="1" applyAlignment="1">
      <alignment horizontal="right"/>
    </xf>
    <xf numFmtId="44" fontId="4" fillId="8" borderId="8" xfId="1" applyFont="1" applyFill="1" applyBorder="1"/>
    <xf numFmtId="164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2" applyNumberFormat="1" applyFont="1" applyAlignment="1">
      <alignment horizontal="right"/>
    </xf>
    <xf numFmtId="44" fontId="11" fillId="0" borderId="0" xfId="1" applyFont="1"/>
    <xf numFmtId="10" fontId="6" fillId="0" borderId="0" xfId="2" applyNumberFormat="1" applyFont="1" applyAlignment="1">
      <alignment horizontal="left"/>
    </xf>
    <xf numFmtId="0" fontId="6" fillId="0" borderId="0" xfId="0" applyFont="1" applyAlignment="1">
      <alignment horizontal="left"/>
    </xf>
    <xf numFmtId="165" fontId="6" fillId="0" borderId="0" xfId="2" applyNumberFormat="1" applyFont="1" applyAlignment="1">
      <alignment horizontal="left"/>
    </xf>
    <xf numFmtId="166" fontId="6" fillId="0" borderId="0" xfId="2" applyNumberFormat="1" applyFont="1" applyAlignment="1">
      <alignment horizontal="left"/>
    </xf>
    <xf numFmtId="165" fontId="6" fillId="0" borderId="0" xfId="2" applyNumberFormat="1" applyFont="1" applyAlignment="1">
      <alignment horizontal="center"/>
    </xf>
    <xf numFmtId="44" fontId="0" fillId="0" borderId="0" xfId="0" applyNumberFormat="1" applyAlignment="1">
      <alignment horizontal="center"/>
    </xf>
    <xf numFmtId="44" fontId="0" fillId="7" borderId="0" xfId="0" applyNumberFormat="1" applyFill="1" applyAlignment="1">
      <alignment horizontal="center"/>
    </xf>
    <xf numFmtId="0" fontId="9" fillId="0" borderId="0" xfId="0" applyFont="1" applyAlignment="1">
      <alignment horizontal="left"/>
    </xf>
    <xf numFmtId="164" fontId="4" fillId="0" borderId="0" xfId="2" applyNumberFormat="1" applyFont="1" applyAlignment="1">
      <alignment horizontal="center"/>
    </xf>
    <xf numFmtId="44" fontId="6" fillId="0" borderId="0" xfId="1" applyFont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EF03-88A2-4D13-98A2-8C2F3BCA8014}">
  <dimension ref="B2:J130"/>
  <sheetViews>
    <sheetView tabSelected="1" topLeftCell="A106" workbookViewId="0">
      <selection activeCell="A110" sqref="A110"/>
    </sheetView>
  </sheetViews>
  <sheetFormatPr defaultRowHeight="14.4" x14ac:dyDescent="0.3"/>
  <cols>
    <col min="4" max="4" width="25.109375" customWidth="1"/>
    <col min="5" max="5" width="10.44140625" bestFit="1" customWidth="1"/>
    <col min="6" max="8" width="16.6640625" customWidth="1"/>
    <col min="9" max="9" width="18.21875" bestFit="1" customWidth="1"/>
  </cols>
  <sheetData>
    <row r="2" spans="2:10" ht="23.4" x14ac:dyDescent="0.45">
      <c r="B2" s="1"/>
      <c r="C2" s="2"/>
      <c r="D2" s="1" t="s">
        <v>0</v>
      </c>
      <c r="E2" s="3"/>
      <c r="F2" s="1"/>
      <c r="G2" s="4"/>
      <c r="H2" s="5"/>
      <c r="I2" s="6"/>
      <c r="J2" s="4"/>
    </row>
    <row r="3" spans="2:10" x14ac:dyDescent="0.3">
      <c r="C3" s="2"/>
      <c r="E3" s="3"/>
      <c r="G3" s="7"/>
      <c r="H3" s="8"/>
      <c r="I3" s="9"/>
      <c r="J3" s="7"/>
    </row>
    <row r="4" spans="2:10" ht="18" x14ac:dyDescent="0.35">
      <c r="B4" s="10"/>
      <c r="C4" s="11" t="s">
        <v>1</v>
      </c>
      <c r="D4" s="12"/>
      <c r="E4" s="12"/>
      <c r="F4" s="12"/>
      <c r="G4" s="12"/>
      <c r="H4" s="12"/>
      <c r="I4" s="13"/>
      <c r="J4" s="230"/>
    </row>
    <row r="5" spans="2:10" x14ac:dyDescent="0.3">
      <c r="B5" s="14" t="s">
        <v>2</v>
      </c>
      <c r="C5" s="15"/>
      <c r="D5" s="16" t="s">
        <v>3</v>
      </c>
      <c r="E5" s="17"/>
      <c r="F5" s="16"/>
      <c r="G5" s="18"/>
      <c r="H5" s="19"/>
      <c r="I5" s="20">
        <v>55901.919999999998</v>
      </c>
      <c r="J5" s="7"/>
    </row>
    <row r="6" spans="2:10" x14ac:dyDescent="0.3">
      <c r="B6" s="21"/>
      <c r="C6" s="22"/>
      <c r="D6" s="23"/>
      <c r="E6" s="24"/>
      <c r="F6" s="23"/>
      <c r="G6" s="25"/>
      <c r="H6" s="26"/>
      <c r="I6" s="27"/>
      <c r="J6" s="7"/>
    </row>
    <row r="7" spans="2:10" x14ac:dyDescent="0.3">
      <c r="B7" s="21"/>
      <c r="C7" s="28">
        <v>9.4700000000000006E-2</v>
      </c>
      <c r="D7" s="29" t="s">
        <v>4</v>
      </c>
      <c r="E7" s="30"/>
      <c r="F7" s="29"/>
      <c r="G7" s="31"/>
      <c r="H7" s="32"/>
      <c r="I7" s="33">
        <f>I23*C7</f>
        <v>13605.530259573374</v>
      </c>
      <c r="J7" s="7"/>
    </row>
    <row r="8" spans="2:10" x14ac:dyDescent="0.3">
      <c r="B8" s="21"/>
      <c r="C8" s="28">
        <v>0.10390000000000001</v>
      </c>
      <c r="D8" s="29" t="s">
        <v>5</v>
      </c>
      <c r="E8" s="30"/>
      <c r="F8" s="29"/>
      <c r="G8" s="31"/>
      <c r="H8" s="32"/>
      <c r="I8" s="33">
        <f>I23*C8</f>
        <v>14927.292438961706</v>
      </c>
      <c r="J8" s="7"/>
    </row>
    <row r="9" spans="2:10" x14ac:dyDescent="0.3">
      <c r="B9" s="21"/>
      <c r="C9" s="28">
        <v>6.4100000000000004E-2</v>
      </c>
      <c r="D9" s="29" t="s">
        <v>6</v>
      </c>
      <c r="E9" s="30"/>
      <c r="F9" s="29"/>
      <c r="G9" s="31"/>
      <c r="H9" s="32"/>
      <c r="I9" s="33">
        <f>I23*C9</f>
        <v>9209.2343150860961</v>
      </c>
      <c r="J9" s="7"/>
    </row>
    <row r="10" spans="2:10" x14ac:dyDescent="0.3">
      <c r="B10" s="21"/>
      <c r="C10" s="28">
        <v>4.1999999999999997E-3</v>
      </c>
      <c r="D10" s="29" t="s">
        <v>7</v>
      </c>
      <c r="E10" s="30"/>
      <c r="F10" s="29"/>
      <c r="G10" s="31"/>
      <c r="H10" s="32"/>
      <c r="I10" s="33">
        <f>I23*C10</f>
        <v>603.413168851195</v>
      </c>
      <c r="J10" s="7"/>
    </row>
    <row r="11" spans="2:10" x14ac:dyDescent="0.3">
      <c r="B11" s="21"/>
      <c r="C11" s="28"/>
      <c r="D11" s="23"/>
      <c r="E11" s="24"/>
      <c r="F11" s="23"/>
      <c r="G11" s="25"/>
      <c r="H11" s="26"/>
      <c r="I11" s="27"/>
      <c r="J11" s="7"/>
    </row>
    <row r="12" spans="2:10" x14ac:dyDescent="0.3">
      <c r="B12" s="21"/>
      <c r="C12" s="28">
        <v>0.05</v>
      </c>
      <c r="D12" s="23" t="s">
        <v>8</v>
      </c>
      <c r="E12" s="24"/>
      <c r="F12" s="23"/>
      <c r="G12" s="25"/>
      <c r="H12" s="26"/>
      <c r="I12" s="27">
        <f>$I$23*C12</f>
        <v>7183.4901053713693</v>
      </c>
      <c r="J12" s="7"/>
    </row>
    <row r="13" spans="2:10" x14ac:dyDescent="0.3">
      <c r="B13" s="21"/>
      <c r="C13" s="28">
        <v>0.1</v>
      </c>
      <c r="D13" s="23" t="s">
        <v>9</v>
      </c>
      <c r="E13" s="24"/>
      <c r="F13" s="23"/>
      <c r="G13" s="25"/>
      <c r="H13" s="26"/>
      <c r="I13" s="27">
        <f>$I$23*C13</f>
        <v>14366.980210742739</v>
      </c>
      <c r="J13" s="7"/>
    </row>
    <row r="14" spans="2:10" x14ac:dyDescent="0.3">
      <c r="B14" s="21"/>
      <c r="C14" s="28">
        <v>1.4999999999999999E-2</v>
      </c>
      <c r="D14" s="23" t="s">
        <v>10</v>
      </c>
      <c r="E14" s="24"/>
      <c r="F14" s="23"/>
      <c r="G14" s="25"/>
      <c r="H14" s="26"/>
      <c r="I14" s="27">
        <f>$I$23*C14</f>
        <v>2155.0470316114106</v>
      </c>
      <c r="J14" s="7"/>
    </row>
    <row r="15" spans="2:10" x14ac:dyDescent="0.3">
      <c r="B15" s="21"/>
      <c r="C15" s="28">
        <v>8.9999999999999993E-3</v>
      </c>
      <c r="D15" s="23" t="s">
        <v>11</v>
      </c>
      <c r="E15" s="24"/>
      <c r="F15" s="23"/>
      <c r="G15" s="25"/>
      <c r="H15" s="26"/>
      <c r="I15" s="27">
        <f>$I$23*C15</f>
        <v>1293.0282189668465</v>
      </c>
      <c r="J15" s="7"/>
    </row>
    <row r="16" spans="2:10" x14ac:dyDescent="0.3">
      <c r="B16" s="21"/>
      <c r="C16" s="28"/>
      <c r="D16" s="23"/>
      <c r="E16" s="24"/>
      <c r="F16" s="23"/>
      <c r="G16" s="25"/>
      <c r="H16" s="26"/>
      <c r="I16" s="27"/>
      <c r="J16" s="7"/>
    </row>
    <row r="17" spans="2:10" x14ac:dyDescent="0.3">
      <c r="B17" s="21"/>
      <c r="C17" s="28">
        <v>0.17</v>
      </c>
      <c r="D17" s="29" t="s">
        <v>12</v>
      </c>
      <c r="E17" s="30"/>
      <c r="F17" s="23"/>
      <c r="G17" s="25"/>
      <c r="H17" s="26"/>
      <c r="I17" s="27">
        <f>I23*C17</f>
        <v>24423.866358262658</v>
      </c>
      <c r="J17" s="7"/>
    </row>
    <row r="18" spans="2:10" x14ac:dyDescent="0.3">
      <c r="B18" s="21"/>
      <c r="C18" s="28">
        <v>0</v>
      </c>
      <c r="D18" s="29" t="s">
        <v>13</v>
      </c>
      <c r="E18" s="30"/>
      <c r="F18" s="23"/>
      <c r="G18" s="25"/>
      <c r="H18" s="26"/>
      <c r="I18" s="27">
        <f>I23*C18</f>
        <v>0</v>
      </c>
      <c r="J18" s="7"/>
    </row>
    <row r="19" spans="2:10" x14ac:dyDescent="0.3">
      <c r="B19" s="21"/>
      <c r="C19" s="28">
        <v>0</v>
      </c>
      <c r="D19" s="29" t="s">
        <v>14</v>
      </c>
      <c r="E19" s="30"/>
      <c r="F19" s="23"/>
      <c r="G19" s="25"/>
      <c r="H19" s="26"/>
      <c r="I19" s="27">
        <f>I23*C19</f>
        <v>0</v>
      </c>
      <c r="J19" s="7"/>
    </row>
    <row r="20" spans="2:10" x14ac:dyDescent="0.3">
      <c r="B20" s="21"/>
      <c r="C20" s="34"/>
      <c r="E20" s="3"/>
      <c r="G20" s="7"/>
      <c r="H20" s="8"/>
      <c r="I20" s="35"/>
      <c r="J20" s="7"/>
    </row>
    <row r="21" spans="2:10" x14ac:dyDescent="0.3">
      <c r="B21" s="21"/>
      <c r="C21" s="36">
        <f>SUM(C7:C19)</f>
        <v>0.6109</v>
      </c>
      <c r="D21" s="37" t="s">
        <v>15</v>
      </c>
      <c r="E21" s="24"/>
      <c r="F21" s="24"/>
      <c r="G21" s="25"/>
      <c r="H21" s="26"/>
      <c r="I21" s="27"/>
      <c r="J21" s="7"/>
    </row>
    <row r="22" spans="2:10" x14ac:dyDescent="0.3">
      <c r="B22" s="21"/>
      <c r="C22" s="38">
        <f>1-C21</f>
        <v>0.3891</v>
      </c>
      <c r="D22" s="39" t="s">
        <v>16</v>
      </c>
      <c r="E22" s="39"/>
      <c r="F22" s="23"/>
      <c r="G22" s="25"/>
      <c r="H22" s="26"/>
      <c r="I22" s="27"/>
      <c r="J22" s="7"/>
    </row>
    <row r="23" spans="2:10" x14ac:dyDescent="0.3">
      <c r="B23" s="40"/>
      <c r="C23" s="41"/>
      <c r="D23" s="42"/>
      <c r="E23" s="37"/>
      <c r="F23" s="42"/>
      <c r="G23" s="43"/>
      <c r="H23" s="44" t="s">
        <v>17</v>
      </c>
      <c r="I23" s="45">
        <f>I5/C22</f>
        <v>143669.80210742739</v>
      </c>
      <c r="J23" s="233">
        <f>I23/I33</f>
        <v>0.94446440750237237</v>
      </c>
    </row>
    <row r="24" spans="2:10" x14ac:dyDescent="0.3">
      <c r="C24" s="46"/>
      <c r="E24" s="3"/>
      <c r="G24" s="7"/>
      <c r="H24" s="8"/>
      <c r="I24" s="35"/>
      <c r="J24" s="234"/>
    </row>
    <row r="25" spans="2:10" x14ac:dyDescent="0.3">
      <c r="B25" s="47"/>
      <c r="C25" s="48" t="s">
        <v>18</v>
      </c>
      <c r="D25" s="49"/>
      <c r="E25" s="49"/>
      <c r="F25" s="49"/>
      <c r="G25" s="49"/>
      <c r="H25" s="49"/>
      <c r="I25" s="50"/>
      <c r="J25" s="234"/>
    </row>
    <row r="26" spans="2:10" x14ac:dyDescent="0.3">
      <c r="B26" s="47"/>
      <c r="C26" s="51">
        <v>1E-3</v>
      </c>
      <c r="D26" s="47" t="s">
        <v>19</v>
      </c>
      <c r="E26" s="52">
        <f>(I23-SUM(I17:I19))+I28+I39</f>
        <v>120445.93574916472</v>
      </c>
      <c r="F26" s="47"/>
      <c r="G26" s="53"/>
      <c r="H26" s="54" t="s">
        <v>20</v>
      </c>
      <c r="I26" s="50">
        <f>E26*C26</f>
        <v>120.44593574916473</v>
      </c>
      <c r="J26" s="235">
        <f>I26/$I$31</f>
        <v>1.4257416699595822E-2</v>
      </c>
    </row>
    <row r="27" spans="2:10" x14ac:dyDescent="0.3">
      <c r="B27" s="47"/>
      <c r="C27" s="51">
        <v>8.9999999999999993E-3</v>
      </c>
      <c r="D27" s="47" t="s">
        <v>21</v>
      </c>
      <c r="E27" s="52">
        <f>(I23-SUM(I17:I19))+I28+I39</f>
        <v>120445.93574916472</v>
      </c>
      <c r="F27" s="47"/>
      <c r="G27" s="53"/>
      <c r="H27" s="54" t="s">
        <v>20</v>
      </c>
      <c r="I27" s="50">
        <f>E27*C27</f>
        <v>1084.0134217424825</v>
      </c>
      <c r="J27" s="235">
        <f>I27/$I$31</f>
        <v>0.12831675029636239</v>
      </c>
    </row>
    <row r="28" spans="2:10" x14ac:dyDescent="0.3">
      <c r="B28" s="47"/>
      <c r="C28" s="51">
        <v>0</v>
      </c>
      <c r="D28" s="47" t="s">
        <v>22</v>
      </c>
      <c r="E28" s="52">
        <f>(I23-SUM(I17:I19))+I39</f>
        <v>120445.93574916472</v>
      </c>
      <c r="F28" s="47"/>
      <c r="G28" s="53"/>
      <c r="H28" s="54" t="s">
        <v>23</v>
      </c>
      <c r="I28" s="50">
        <f>E28*C28</f>
        <v>0</v>
      </c>
      <c r="J28" s="235">
        <f>I28/$I$31</f>
        <v>0</v>
      </c>
    </row>
    <row r="29" spans="2:10" x14ac:dyDescent="0.3">
      <c r="B29" s="47"/>
      <c r="C29" s="51">
        <v>0.05</v>
      </c>
      <c r="D29" s="47" t="s">
        <v>24</v>
      </c>
      <c r="E29" s="52">
        <f>I23+I39</f>
        <v>144869.80210742739</v>
      </c>
      <c r="F29" s="47"/>
      <c r="G29" s="53"/>
      <c r="H29" s="54" t="s">
        <v>25</v>
      </c>
      <c r="I29" s="50">
        <f>E29*C29</f>
        <v>7243.4901053713693</v>
      </c>
      <c r="J29" s="235">
        <f>I29/$I$31</f>
        <v>0.85742583300404185</v>
      </c>
    </row>
    <row r="30" spans="2:10" x14ac:dyDescent="0.3">
      <c r="B30" s="47"/>
      <c r="C30" s="51"/>
      <c r="D30" s="47"/>
      <c r="E30" s="55"/>
      <c r="F30" s="47"/>
      <c r="G30" s="53"/>
      <c r="H30" s="54"/>
      <c r="I30" s="50"/>
      <c r="J30" s="235"/>
    </row>
    <row r="31" spans="2:10" x14ac:dyDescent="0.3">
      <c r="B31" s="47"/>
      <c r="C31" s="56"/>
      <c r="D31" s="47"/>
      <c r="E31" s="55"/>
      <c r="F31" s="47"/>
      <c r="G31" s="53"/>
      <c r="H31" s="57" t="s">
        <v>26</v>
      </c>
      <c r="I31" s="50">
        <f>SUM(I26:I30)</f>
        <v>8447.9494628630164</v>
      </c>
      <c r="J31" s="236">
        <f>I31/I33</f>
        <v>5.5535592497627718E-2</v>
      </c>
    </row>
    <row r="32" spans="2:10" x14ac:dyDescent="0.3">
      <c r="C32" s="46"/>
      <c r="E32" s="3"/>
      <c r="G32" s="7"/>
      <c r="H32" s="8"/>
      <c r="I32" s="35"/>
      <c r="J32" s="7"/>
    </row>
    <row r="33" spans="2:10" ht="15.6" x14ac:dyDescent="0.3">
      <c r="C33" s="46"/>
      <c r="D33" s="58"/>
      <c r="E33" s="59"/>
      <c r="F33" s="58"/>
      <c r="G33" s="60"/>
      <c r="H33" s="61" t="s">
        <v>27</v>
      </c>
      <c r="I33" s="62">
        <f>SUM(I31,I23)</f>
        <v>152117.75157029039</v>
      </c>
      <c r="J33" s="7"/>
    </row>
    <row r="34" spans="2:10" x14ac:dyDescent="0.3">
      <c r="C34" s="46"/>
      <c r="E34" s="3"/>
      <c r="G34" s="7"/>
      <c r="H34" s="8"/>
      <c r="I34" s="35"/>
      <c r="J34" s="7"/>
    </row>
    <row r="35" spans="2:10" x14ac:dyDescent="0.3">
      <c r="B35" s="63"/>
      <c r="C35" s="64" t="s">
        <v>28</v>
      </c>
      <c r="D35" s="65"/>
      <c r="E35" s="65"/>
      <c r="F35" s="65"/>
      <c r="G35" s="65"/>
      <c r="H35" s="65"/>
      <c r="I35" s="66"/>
      <c r="J35" s="2"/>
    </row>
    <row r="36" spans="2:10" x14ac:dyDescent="0.3">
      <c r="B36" s="67"/>
      <c r="C36" s="68"/>
      <c r="D36" s="69" t="s">
        <v>29</v>
      </c>
      <c r="E36" s="70"/>
      <c r="F36" s="69"/>
      <c r="G36" s="71"/>
      <c r="H36" s="72"/>
      <c r="I36" s="73">
        <v>1000</v>
      </c>
      <c r="J36" s="2"/>
    </row>
    <row r="37" spans="2:10" x14ac:dyDescent="0.3">
      <c r="B37" s="67"/>
      <c r="C37" s="68"/>
      <c r="D37" s="69" t="s">
        <v>30</v>
      </c>
      <c r="E37" s="70"/>
      <c r="F37" s="69"/>
      <c r="G37" s="71"/>
      <c r="H37" s="72"/>
      <c r="I37" s="73">
        <v>200</v>
      </c>
      <c r="J37" s="2"/>
    </row>
    <row r="38" spans="2:10" x14ac:dyDescent="0.3">
      <c r="B38" s="67"/>
      <c r="C38" s="74"/>
      <c r="D38" s="75"/>
      <c r="E38" s="76"/>
      <c r="F38" s="75"/>
      <c r="G38" s="77"/>
      <c r="H38" s="78" t="s">
        <v>31</v>
      </c>
      <c r="I38" s="79"/>
      <c r="J38" s="2"/>
    </row>
    <row r="39" spans="2:10" x14ac:dyDescent="0.3">
      <c r="B39" s="80"/>
      <c r="C39" s="70"/>
      <c r="D39" s="75"/>
      <c r="E39" s="76"/>
      <c r="F39" s="75"/>
      <c r="G39" s="77"/>
      <c r="H39" s="81" t="s">
        <v>32</v>
      </c>
      <c r="I39" s="79">
        <f>SUM(I36:I38)</f>
        <v>1200</v>
      </c>
      <c r="J39" s="237"/>
    </row>
    <row r="40" spans="2:10" x14ac:dyDescent="0.3">
      <c r="C40" s="3"/>
      <c r="E40" s="3"/>
      <c r="G40" s="7"/>
      <c r="H40" s="82"/>
      <c r="I40" s="9"/>
      <c r="J40" s="237"/>
    </row>
    <row r="41" spans="2:10" x14ac:dyDescent="0.3">
      <c r="B41" s="47"/>
      <c r="C41" s="83" t="s">
        <v>33</v>
      </c>
      <c r="D41" s="47" t="s">
        <v>34</v>
      </c>
      <c r="E41" s="55"/>
      <c r="F41" s="47"/>
      <c r="G41" s="53"/>
      <c r="H41" s="84"/>
      <c r="I41" s="85">
        <f>IF(C42="x",MAX(0,E50),0)</f>
        <v>20130.269899582916</v>
      </c>
      <c r="J41" s="235"/>
    </row>
    <row r="42" spans="2:10" x14ac:dyDescent="0.3">
      <c r="B42" s="47"/>
      <c r="C42" s="86" t="s">
        <v>35</v>
      </c>
      <c r="D42" s="55" t="s">
        <v>36</v>
      </c>
      <c r="E42" s="87">
        <f>IF(C42="x",(I23+I39+I29),0)</f>
        <v>152113.29221279875</v>
      </c>
      <c r="F42" s="47"/>
      <c r="G42" s="53"/>
      <c r="H42" s="54" t="s">
        <v>37</v>
      </c>
      <c r="I42" s="85"/>
      <c r="J42" s="234"/>
    </row>
    <row r="43" spans="2:10" x14ac:dyDescent="0.3">
      <c r="B43" s="47"/>
      <c r="C43" s="51"/>
      <c r="D43" s="55" t="s">
        <v>38</v>
      </c>
      <c r="E43" s="55"/>
      <c r="F43" s="88">
        <v>0.4</v>
      </c>
      <c r="G43" s="88"/>
      <c r="H43" s="89" t="s">
        <v>39</v>
      </c>
      <c r="I43" s="54"/>
      <c r="J43" s="234"/>
    </row>
    <row r="44" spans="2:10" x14ac:dyDescent="0.3">
      <c r="B44" s="47"/>
      <c r="C44" s="51"/>
      <c r="D44" s="55" t="s">
        <v>40</v>
      </c>
      <c r="E44" s="55"/>
      <c r="F44" s="88">
        <v>0.12</v>
      </c>
      <c r="G44" s="88"/>
      <c r="H44" s="90">
        <f>E42*F44</f>
        <v>18253.59506553585</v>
      </c>
      <c r="I44" s="50"/>
      <c r="J44" s="234"/>
    </row>
    <row r="45" spans="2:10" x14ac:dyDescent="0.3">
      <c r="B45" s="47"/>
      <c r="C45" s="51"/>
      <c r="D45" s="55" t="s">
        <v>41</v>
      </c>
      <c r="E45" s="55"/>
      <c r="F45" s="88">
        <v>0.17</v>
      </c>
      <c r="G45" s="88"/>
      <c r="H45" s="90">
        <f>IF(C42="x",I23*F45,0)</f>
        <v>24423.866358262658</v>
      </c>
      <c r="I45" s="50"/>
      <c r="J45" s="234"/>
    </row>
    <row r="46" spans="2:10" x14ac:dyDescent="0.3">
      <c r="B46" s="47"/>
      <c r="C46" s="51"/>
      <c r="D46" s="55"/>
      <c r="E46" s="55"/>
      <c r="F46" s="91">
        <f>(((1+F43)*(1-F44))/(1-F45))-1</f>
        <v>0.48433734939759043</v>
      </c>
      <c r="G46" s="91"/>
      <c r="H46" s="92" t="s">
        <v>42</v>
      </c>
      <c r="I46" s="85"/>
      <c r="J46" s="234"/>
    </row>
    <row r="47" spans="2:10" x14ac:dyDescent="0.3">
      <c r="B47" s="47"/>
      <c r="C47" s="51"/>
      <c r="D47" s="55" t="s">
        <v>43</v>
      </c>
      <c r="E47" s="52">
        <f>E42*(1+F46)</f>
        <v>225787.44097128685</v>
      </c>
      <c r="F47" s="47"/>
      <c r="G47" s="53"/>
      <c r="H47" s="84"/>
      <c r="I47" s="85"/>
      <c r="J47" s="234"/>
    </row>
    <row r="48" spans="2:10" x14ac:dyDescent="0.3">
      <c r="B48" s="47"/>
      <c r="C48" s="51"/>
      <c r="D48" s="55" t="s">
        <v>44</v>
      </c>
      <c r="E48" s="52">
        <f>E47*F45</f>
        <v>38383.864965118766</v>
      </c>
      <c r="F48" s="47"/>
      <c r="G48" s="53"/>
      <c r="H48" s="54" t="s">
        <v>45</v>
      </c>
      <c r="I48" s="85"/>
      <c r="J48" s="234"/>
    </row>
    <row r="49" spans="2:10" x14ac:dyDescent="0.3">
      <c r="B49" s="47"/>
      <c r="C49" s="51"/>
      <c r="D49" s="93" t="s">
        <v>46</v>
      </c>
      <c r="E49" s="94">
        <f>H44</f>
        <v>18253.59506553585</v>
      </c>
      <c r="F49" s="95"/>
      <c r="G49" s="96"/>
      <c r="H49" s="97" t="s">
        <v>47</v>
      </c>
      <c r="I49" s="85"/>
      <c r="J49" s="234"/>
    </row>
    <row r="50" spans="2:10" x14ac:dyDescent="0.3">
      <c r="B50" s="47"/>
      <c r="C50" s="51"/>
      <c r="D50" s="55" t="s">
        <v>34</v>
      </c>
      <c r="E50" s="52">
        <f>E48-E49</f>
        <v>20130.269899582916</v>
      </c>
      <c r="F50" s="47"/>
      <c r="G50" s="53"/>
      <c r="H50" s="54" t="s">
        <v>48</v>
      </c>
      <c r="I50" s="85"/>
      <c r="J50" s="234"/>
    </row>
    <row r="51" spans="2:10" x14ac:dyDescent="0.3">
      <c r="B51" s="47"/>
      <c r="C51" s="51"/>
      <c r="D51" s="47"/>
      <c r="E51" s="55"/>
      <c r="F51" s="47"/>
      <c r="G51" s="53"/>
      <c r="H51" s="84"/>
      <c r="I51" s="85"/>
      <c r="J51" s="234"/>
    </row>
    <row r="52" spans="2:10" x14ac:dyDescent="0.3">
      <c r="B52" s="47"/>
      <c r="C52" s="83" t="s">
        <v>33</v>
      </c>
      <c r="D52" s="47" t="s">
        <v>49</v>
      </c>
      <c r="E52" s="55"/>
      <c r="F52" s="47"/>
      <c r="G52" s="53"/>
      <c r="H52" s="84"/>
      <c r="I52" s="85">
        <f>H56</f>
        <v>0</v>
      </c>
      <c r="J52" s="235"/>
    </row>
    <row r="53" spans="2:10" x14ac:dyDescent="0.3">
      <c r="B53" s="47"/>
      <c r="C53" s="86"/>
      <c r="D53" s="55" t="s">
        <v>36</v>
      </c>
      <c r="E53" s="87">
        <f>IF(C53="x",(I23+I39+I29),0)</f>
        <v>0</v>
      </c>
      <c r="F53" s="47"/>
      <c r="G53" s="53"/>
      <c r="H53" s="54" t="s">
        <v>37</v>
      </c>
      <c r="I53" s="98"/>
      <c r="J53" s="234"/>
    </row>
    <row r="54" spans="2:10" x14ac:dyDescent="0.3">
      <c r="B54" s="47"/>
      <c r="C54" s="51"/>
      <c r="D54" s="55" t="s">
        <v>50</v>
      </c>
      <c r="E54" s="55"/>
      <c r="F54" s="88">
        <v>0.17</v>
      </c>
      <c r="G54" s="88"/>
      <c r="H54" s="90">
        <f>E53*F54</f>
        <v>0</v>
      </c>
      <c r="I54" s="50"/>
      <c r="J54" s="234"/>
    </row>
    <row r="55" spans="2:10" x14ac:dyDescent="0.3">
      <c r="B55" s="47"/>
      <c r="C55" s="51"/>
      <c r="D55" s="55" t="s">
        <v>51</v>
      </c>
      <c r="E55" s="93"/>
      <c r="F55" s="99">
        <v>0.12</v>
      </c>
      <c r="G55" s="99"/>
      <c r="H55" s="100">
        <f>E53*F55</f>
        <v>0</v>
      </c>
      <c r="I55" s="50"/>
      <c r="J55" s="234"/>
    </row>
    <row r="56" spans="2:10" x14ac:dyDescent="0.3">
      <c r="B56" s="47"/>
      <c r="C56" s="51"/>
      <c r="D56" s="55" t="s">
        <v>52</v>
      </c>
      <c r="E56" s="101"/>
      <c r="F56" s="102"/>
      <c r="G56" s="102"/>
      <c r="H56" s="90">
        <f>H54-H55</f>
        <v>0</v>
      </c>
      <c r="I56" s="50"/>
      <c r="J56" s="234"/>
    </row>
    <row r="57" spans="2:10" x14ac:dyDescent="0.3">
      <c r="B57" s="47"/>
      <c r="C57" s="51"/>
      <c r="D57" s="55"/>
      <c r="E57" s="101"/>
      <c r="F57" s="102"/>
      <c r="G57" s="102"/>
      <c r="H57" s="90"/>
      <c r="I57" s="50"/>
      <c r="J57" s="234"/>
    </row>
    <row r="58" spans="2:10" x14ac:dyDescent="0.3">
      <c r="B58" s="103"/>
      <c r="C58" s="104"/>
      <c r="D58" s="105" t="s">
        <v>53</v>
      </c>
      <c r="E58" s="106"/>
      <c r="F58" s="107"/>
      <c r="G58" s="108"/>
      <c r="H58" s="109" t="s">
        <v>54</v>
      </c>
      <c r="I58" s="110">
        <f>((I29+I39)*C17)</f>
        <v>1435.3933179131329</v>
      </c>
      <c r="J58" s="7"/>
    </row>
    <row r="59" spans="2:10" x14ac:dyDescent="0.3">
      <c r="B59" s="47"/>
      <c r="C59" s="56"/>
      <c r="D59" s="47"/>
      <c r="E59" s="55"/>
      <c r="F59" s="47"/>
      <c r="G59" s="53"/>
      <c r="H59" s="54"/>
      <c r="I59" s="50"/>
      <c r="J59" s="7"/>
    </row>
    <row r="60" spans="2:10" x14ac:dyDescent="0.3">
      <c r="B60" s="47"/>
      <c r="C60" s="56"/>
      <c r="D60" s="47"/>
      <c r="E60" s="55"/>
      <c r="F60" s="47"/>
      <c r="G60" s="53"/>
      <c r="H60" s="111" t="s">
        <v>55</v>
      </c>
      <c r="I60" s="50">
        <f>SUM(I41:I58)</f>
        <v>21565.66321749605</v>
      </c>
      <c r="J60" s="7"/>
    </row>
    <row r="61" spans="2:10" x14ac:dyDescent="0.3">
      <c r="C61" s="46"/>
      <c r="E61" s="3"/>
      <c r="G61" s="7"/>
      <c r="H61" s="8"/>
      <c r="I61" s="35"/>
      <c r="J61" s="7"/>
    </row>
    <row r="62" spans="2:10" ht="19.2" x14ac:dyDescent="0.45">
      <c r="B62" s="112"/>
      <c r="C62" s="113"/>
      <c r="D62" s="114" t="s">
        <v>56</v>
      </c>
      <c r="E62" s="115"/>
      <c r="F62" s="114"/>
      <c r="G62" s="116"/>
      <c r="H62" s="117"/>
      <c r="I62" s="118">
        <f>I33+I39+I60</f>
        <v>174883.41478778643</v>
      </c>
      <c r="J62" s="238"/>
    </row>
    <row r="63" spans="2:10" ht="19.2" x14ac:dyDescent="0.45">
      <c r="C63" s="46"/>
      <c r="D63" s="119"/>
      <c r="E63" s="120"/>
      <c r="F63" s="119"/>
      <c r="G63" s="121"/>
      <c r="H63" s="122"/>
      <c r="I63" s="123"/>
      <c r="J63" s="238"/>
    </row>
    <row r="64" spans="2:10" x14ac:dyDescent="0.3">
      <c r="B64" s="124" t="s">
        <v>57</v>
      </c>
      <c r="C64" s="124"/>
      <c r="D64" s="124"/>
      <c r="E64" s="124"/>
      <c r="F64" s="124"/>
      <c r="G64" s="124"/>
      <c r="H64" s="124"/>
      <c r="I64" s="124"/>
      <c r="J64" s="239"/>
    </row>
    <row r="65" spans="2:10" x14ac:dyDescent="0.3">
      <c r="B65" s="124"/>
      <c r="C65" s="124"/>
      <c r="D65" s="124"/>
      <c r="E65" s="124"/>
      <c r="F65" s="124"/>
      <c r="G65" s="124"/>
      <c r="H65" s="124"/>
      <c r="I65" s="124"/>
      <c r="J65" s="239"/>
    </row>
    <row r="66" spans="2:10" x14ac:dyDescent="0.3">
      <c r="C66" s="46"/>
      <c r="E66" s="3"/>
      <c r="G66" s="7"/>
      <c r="H66" s="8"/>
      <c r="I66" s="35"/>
      <c r="J66" s="7"/>
    </row>
    <row r="67" spans="2:10" ht="19.2" x14ac:dyDescent="0.45">
      <c r="B67" s="112"/>
      <c r="C67" s="113"/>
      <c r="D67" s="114" t="s">
        <v>56</v>
      </c>
      <c r="E67" s="115"/>
      <c r="F67" s="114"/>
      <c r="G67" s="116"/>
      <c r="H67" s="117"/>
      <c r="I67" s="118">
        <f>I62</f>
        <v>174883.41478778643</v>
      </c>
      <c r="J67" s="238"/>
    </row>
    <row r="68" spans="2:10" x14ac:dyDescent="0.3">
      <c r="B68" s="125" t="s">
        <v>58</v>
      </c>
      <c r="C68" s="126" t="s">
        <v>59</v>
      </c>
      <c r="D68" s="127" t="s">
        <v>60</v>
      </c>
      <c r="E68" s="128"/>
      <c r="F68" s="127"/>
      <c r="G68" s="129"/>
      <c r="H68" s="130"/>
      <c r="I68" s="131">
        <v>0.1</v>
      </c>
      <c r="J68" s="7"/>
    </row>
    <row r="69" spans="2:10" x14ac:dyDescent="0.3">
      <c r="B69" s="132"/>
      <c r="C69" s="46"/>
      <c r="E69" s="3"/>
      <c r="G69" s="7"/>
      <c r="H69" s="8"/>
      <c r="I69" s="35"/>
      <c r="J69" s="7"/>
    </row>
    <row r="70" spans="2:10" x14ac:dyDescent="0.3">
      <c r="B70" s="132"/>
      <c r="C70" s="133"/>
      <c r="D70" s="134" t="s">
        <v>61</v>
      </c>
      <c r="E70" s="135"/>
      <c r="F70" s="134"/>
      <c r="G70" s="136"/>
      <c r="H70" s="137"/>
      <c r="I70" s="138">
        <f>I62-I62*I68</f>
        <v>157395.0733090078</v>
      </c>
      <c r="J70" s="7"/>
    </row>
    <row r="71" spans="2:10" x14ac:dyDescent="0.3">
      <c r="B71" s="132"/>
      <c r="C71" s="139"/>
      <c r="D71" s="47" t="s">
        <v>62</v>
      </c>
      <c r="E71" s="55"/>
      <c r="F71" s="101"/>
      <c r="G71" s="101"/>
      <c r="H71" s="101"/>
      <c r="I71" s="85">
        <f>E80</f>
        <v>18117.242909624623</v>
      </c>
      <c r="J71" s="7"/>
    </row>
    <row r="72" spans="2:10" x14ac:dyDescent="0.3">
      <c r="B72" s="132"/>
      <c r="C72" s="139"/>
      <c r="D72" s="55" t="s">
        <v>36</v>
      </c>
      <c r="E72" s="87">
        <f>E42*(1-I68)</f>
        <v>136901.96299151887</v>
      </c>
      <c r="F72" s="47"/>
      <c r="G72" s="53"/>
      <c r="H72" s="54" t="s">
        <v>37</v>
      </c>
      <c r="I72" s="85"/>
      <c r="J72" s="7"/>
    </row>
    <row r="73" spans="2:10" x14ac:dyDescent="0.3">
      <c r="B73" s="132"/>
      <c r="C73" s="139"/>
      <c r="D73" s="55" t="s">
        <v>38</v>
      </c>
      <c r="E73" s="55"/>
      <c r="F73" s="88">
        <f>F43</f>
        <v>0.4</v>
      </c>
      <c r="G73" s="88"/>
      <c r="H73" s="89" t="s">
        <v>39</v>
      </c>
      <c r="I73" s="85"/>
      <c r="J73" s="7"/>
    </row>
    <row r="74" spans="2:10" x14ac:dyDescent="0.3">
      <c r="B74" s="132"/>
      <c r="C74" s="139"/>
      <c r="D74" s="55" t="s">
        <v>40</v>
      </c>
      <c r="E74" s="55"/>
      <c r="F74" s="88">
        <f>F44</f>
        <v>0.12</v>
      </c>
      <c r="G74" s="88"/>
      <c r="H74" s="90">
        <f>E72*F74</f>
        <v>16428.235558982266</v>
      </c>
      <c r="I74" s="85"/>
      <c r="J74" s="7"/>
    </row>
    <row r="75" spans="2:10" x14ac:dyDescent="0.3">
      <c r="B75" s="132"/>
      <c r="C75" s="139"/>
      <c r="D75" s="55" t="s">
        <v>41</v>
      </c>
      <c r="E75" s="55"/>
      <c r="F75" s="88">
        <f>F45</f>
        <v>0.17</v>
      </c>
      <c r="G75" s="88"/>
      <c r="H75" s="90">
        <f>H45</f>
        <v>24423.866358262658</v>
      </c>
      <c r="I75" s="85"/>
      <c r="J75" s="7"/>
    </row>
    <row r="76" spans="2:10" x14ac:dyDescent="0.3">
      <c r="B76" s="132"/>
      <c r="C76" s="139"/>
      <c r="D76" s="55"/>
      <c r="E76" s="55"/>
      <c r="F76" s="91">
        <f>(((1+F73)*(1-F74))/(1-F75))-1</f>
        <v>0.48433734939759043</v>
      </c>
      <c r="G76" s="91"/>
      <c r="H76" s="92" t="s">
        <v>42</v>
      </c>
      <c r="I76" s="85"/>
      <c r="J76" s="7"/>
    </row>
    <row r="77" spans="2:10" x14ac:dyDescent="0.3">
      <c r="B77" s="132"/>
      <c r="C77" s="139"/>
      <c r="D77" s="55" t="s">
        <v>43</v>
      </c>
      <c r="E77" s="52">
        <f>E72*(1+F76)</f>
        <v>203208.69687415814</v>
      </c>
      <c r="F77" s="47"/>
      <c r="G77" s="53"/>
      <c r="H77" s="84"/>
      <c r="I77" s="85"/>
      <c r="J77" s="7"/>
    </row>
    <row r="78" spans="2:10" x14ac:dyDescent="0.3">
      <c r="B78" s="132"/>
      <c r="C78" s="139"/>
      <c r="D78" s="55" t="s">
        <v>44</v>
      </c>
      <c r="E78" s="52">
        <f>E77*F75</f>
        <v>34545.478468606889</v>
      </c>
      <c r="F78" s="47"/>
      <c r="G78" s="53"/>
      <c r="H78" s="54" t="s">
        <v>45</v>
      </c>
      <c r="I78" s="85"/>
      <c r="J78" s="7"/>
    </row>
    <row r="79" spans="2:10" x14ac:dyDescent="0.3">
      <c r="B79" s="132"/>
      <c r="C79" s="139"/>
      <c r="D79" s="93" t="s">
        <v>46</v>
      </c>
      <c r="E79" s="94">
        <f>H74</f>
        <v>16428.235558982266</v>
      </c>
      <c r="F79" s="95"/>
      <c r="G79" s="96"/>
      <c r="H79" s="97" t="s">
        <v>47</v>
      </c>
      <c r="I79" s="85"/>
      <c r="J79" s="7"/>
    </row>
    <row r="80" spans="2:10" x14ac:dyDescent="0.3">
      <c r="B80" s="132"/>
      <c r="C80" s="139"/>
      <c r="D80" s="55" t="s">
        <v>34</v>
      </c>
      <c r="E80" s="52">
        <f>E78-E79</f>
        <v>18117.242909624623</v>
      </c>
      <c r="F80" s="47"/>
      <c r="G80" s="53"/>
      <c r="H80" s="54" t="s">
        <v>48</v>
      </c>
      <c r="I80" s="85"/>
      <c r="J80" s="7"/>
    </row>
    <row r="81" spans="2:10" x14ac:dyDescent="0.3">
      <c r="B81" s="132"/>
      <c r="C81" s="139"/>
      <c r="D81" s="140"/>
      <c r="E81" s="141"/>
      <c r="F81" s="140"/>
      <c r="G81" s="142"/>
      <c r="H81" s="142"/>
      <c r="I81" s="143"/>
      <c r="J81" s="7"/>
    </row>
    <row r="82" spans="2:10" x14ac:dyDescent="0.3">
      <c r="B82" s="132"/>
      <c r="C82" s="139"/>
      <c r="D82" s="47" t="s">
        <v>49</v>
      </c>
      <c r="E82" s="55"/>
      <c r="F82" s="47"/>
      <c r="G82" s="53"/>
      <c r="H82" s="84"/>
      <c r="I82" s="85">
        <f>H86</f>
        <v>0</v>
      </c>
      <c r="J82" s="7"/>
    </row>
    <row r="83" spans="2:10" x14ac:dyDescent="0.3">
      <c r="B83" s="132"/>
      <c r="C83" s="139"/>
      <c r="D83" s="55" t="s">
        <v>36</v>
      </c>
      <c r="E83" s="87">
        <f>IF(C53="x",(E53-I39)*(1-I68)+I39,0)</f>
        <v>0</v>
      </c>
      <c r="F83" s="47"/>
      <c r="G83" s="53"/>
      <c r="H83" s="54" t="s">
        <v>37</v>
      </c>
      <c r="I83" s="98"/>
      <c r="J83" s="7"/>
    </row>
    <row r="84" spans="2:10" x14ac:dyDescent="0.3">
      <c r="B84" s="132"/>
      <c r="C84" s="139"/>
      <c r="D84" s="55" t="s">
        <v>50</v>
      </c>
      <c r="E84" s="55"/>
      <c r="F84" s="88">
        <f>F54</f>
        <v>0.17</v>
      </c>
      <c r="G84" s="88"/>
      <c r="H84" s="90">
        <f>E83*F84</f>
        <v>0</v>
      </c>
      <c r="I84" s="50"/>
      <c r="J84" s="7"/>
    </row>
    <row r="85" spans="2:10" x14ac:dyDescent="0.3">
      <c r="B85" s="132"/>
      <c r="C85" s="139"/>
      <c r="D85" s="55" t="s">
        <v>51</v>
      </c>
      <c r="E85" s="93"/>
      <c r="F85" s="99">
        <f>F55</f>
        <v>0.12</v>
      </c>
      <c r="G85" s="99"/>
      <c r="H85" s="100">
        <f>E83*F85</f>
        <v>0</v>
      </c>
      <c r="I85" s="50"/>
      <c r="J85" s="7"/>
    </row>
    <row r="86" spans="2:10" x14ac:dyDescent="0.3">
      <c r="B86" s="132"/>
      <c r="C86" s="139"/>
      <c r="D86" s="55" t="s">
        <v>52</v>
      </c>
      <c r="E86" s="101"/>
      <c r="F86" s="102"/>
      <c r="G86" s="102"/>
      <c r="H86" s="90">
        <f>H84-H85</f>
        <v>0</v>
      </c>
      <c r="I86" s="50"/>
      <c r="J86" s="7"/>
    </row>
    <row r="87" spans="2:10" x14ac:dyDescent="0.3">
      <c r="B87" s="132"/>
      <c r="C87" s="139"/>
      <c r="D87" s="55"/>
      <c r="E87" s="55"/>
      <c r="F87" s="98"/>
      <c r="G87" s="98"/>
      <c r="H87" s="101"/>
      <c r="I87" s="50"/>
      <c r="J87" s="7"/>
    </row>
    <row r="88" spans="2:10" x14ac:dyDescent="0.3">
      <c r="B88" s="132"/>
      <c r="C88" s="144"/>
      <c r="D88" s="105" t="s">
        <v>53</v>
      </c>
      <c r="E88" s="106"/>
      <c r="F88" s="105"/>
      <c r="G88" s="145"/>
      <c r="H88" s="109" t="s">
        <v>54</v>
      </c>
      <c r="I88" s="146">
        <f>((I29*(1-I68))+I39)*C17</f>
        <v>1312.2539861218197</v>
      </c>
      <c r="J88" s="7"/>
    </row>
    <row r="89" spans="2:10" x14ac:dyDescent="0.3">
      <c r="B89" s="132"/>
      <c r="C89" s="147"/>
      <c r="D89" s="134"/>
      <c r="E89" s="135"/>
      <c r="F89" s="134"/>
      <c r="G89" s="136"/>
      <c r="H89" s="148"/>
      <c r="I89" s="138">
        <f>I70-SUM(I71:I88)</f>
        <v>137965.57641326135</v>
      </c>
      <c r="J89" s="7"/>
    </row>
    <row r="90" spans="2:10" x14ac:dyDescent="0.3">
      <c r="B90" s="132"/>
      <c r="C90" s="139"/>
      <c r="D90" s="140"/>
      <c r="E90" s="141"/>
      <c r="F90" s="140"/>
      <c r="G90" s="149"/>
      <c r="H90" s="150" t="s">
        <v>63</v>
      </c>
      <c r="I90" s="151">
        <f>I39</f>
        <v>1200</v>
      </c>
      <c r="J90" s="7"/>
    </row>
    <row r="91" spans="2:10" x14ac:dyDescent="0.3">
      <c r="B91" s="132"/>
      <c r="C91" s="133"/>
      <c r="D91" s="134" t="s">
        <v>61</v>
      </c>
      <c r="E91" s="135"/>
      <c r="F91" s="134"/>
      <c r="G91" s="136"/>
      <c r="H91" s="137"/>
      <c r="I91" s="138">
        <f>I89-I90</f>
        <v>136765.57641326135</v>
      </c>
      <c r="J91" s="7"/>
    </row>
    <row r="92" spans="2:10" x14ac:dyDescent="0.3">
      <c r="B92" s="132"/>
      <c r="C92" s="46"/>
      <c r="D92" s="152"/>
      <c r="E92" s="153"/>
      <c r="F92" s="153"/>
      <c r="G92" s="154"/>
      <c r="H92" s="155" t="s">
        <v>64</v>
      </c>
      <c r="I92" s="156">
        <f>I91*(J23)</f>
        <v>129170.21909387132</v>
      </c>
      <c r="J92" s="234" t="s">
        <v>82</v>
      </c>
    </row>
    <row r="93" spans="2:10" x14ac:dyDescent="0.3">
      <c r="B93" s="132"/>
      <c r="C93" s="46"/>
      <c r="D93" s="152"/>
      <c r="E93" s="153"/>
      <c r="F93" s="153"/>
      <c r="G93" s="154"/>
      <c r="H93" s="157" t="s">
        <v>26</v>
      </c>
      <c r="I93" s="156">
        <f>I91*J31</f>
        <v>7595.3573193900475</v>
      </c>
      <c r="J93" s="234" t="s">
        <v>83</v>
      </c>
    </row>
    <row r="94" spans="2:10" x14ac:dyDescent="0.3">
      <c r="B94" s="132"/>
      <c r="C94" s="46"/>
      <c r="D94" s="152"/>
      <c r="E94" s="153"/>
      <c r="F94" s="152"/>
      <c r="G94" s="158"/>
      <c r="H94" s="159"/>
      <c r="I94" s="160"/>
      <c r="J94" s="7"/>
    </row>
    <row r="95" spans="2:10" x14ac:dyDescent="0.3">
      <c r="B95" s="132"/>
      <c r="C95" s="46"/>
      <c r="E95" s="3"/>
      <c r="G95" s="7"/>
      <c r="H95" s="8"/>
      <c r="I95" s="35"/>
      <c r="J95" s="7"/>
    </row>
    <row r="96" spans="2:10" x14ac:dyDescent="0.3">
      <c r="B96" s="132"/>
      <c r="C96" s="161" t="s">
        <v>65</v>
      </c>
      <c r="D96" s="162" t="s">
        <v>66</v>
      </c>
      <c r="E96" s="163"/>
      <c r="F96" s="162"/>
      <c r="G96" s="164"/>
      <c r="H96" s="165"/>
      <c r="I96" s="166"/>
      <c r="J96" s="7"/>
    </row>
    <row r="97" spans="2:10" x14ac:dyDescent="0.3">
      <c r="B97" s="132"/>
      <c r="C97" s="161"/>
      <c r="D97" s="167" t="s">
        <v>12</v>
      </c>
      <c r="E97" s="168"/>
      <c r="F97" s="167"/>
      <c r="G97" s="169"/>
      <c r="H97" s="170">
        <f>C17</f>
        <v>0.17</v>
      </c>
      <c r="I97" s="171">
        <f>I92*H97</f>
        <v>21958.937245958125</v>
      </c>
      <c r="J97" s="240"/>
    </row>
    <row r="98" spans="2:10" x14ac:dyDescent="0.3">
      <c r="B98" s="132"/>
      <c r="C98" s="161"/>
      <c r="D98" s="167" t="s">
        <v>13</v>
      </c>
      <c r="E98" s="168"/>
      <c r="F98" s="167"/>
      <c r="G98" s="169"/>
      <c r="H98" s="170">
        <f>C18</f>
        <v>0</v>
      </c>
      <c r="I98" s="171">
        <f>I92*H98</f>
        <v>0</v>
      </c>
      <c r="J98" s="240"/>
    </row>
    <row r="99" spans="2:10" x14ac:dyDescent="0.3">
      <c r="B99" s="132"/>
      <c r="C99" s="161"/>
      <c r="D99" s="134" t="s">
        <v>67</v>
      </c>
      <c r="E99" s="135"/>
      <c r="F99" s="134"/>
      <c r="G99" s="136"/>
      <c r="H99" s="172"/>
      <c r="I99" s="138">
        <f>I92-I97-I98</f>
        <v>107211.2818479132</v>
      </c>
      <c r="J99" s="121"/>
    </row>
    <row r="100" spans="2:10" x14ac:dyDescent="0.3">
      <c r="B100" s="132"/>
      <c r="C100" s="161"/>
      <c r="D100" s="167" t="s">
        <v>14</v>
      </c>
      <c r="E100" s="168"/>
      <c r="F100" s="167"/>
      <c r="G100" s="173"/>
      <c r="H100" s="170">
        <f>C19/(1-H97-H98)</f>
        <v>0</v>
      </c>
      <c r="I100" s="171">
        <f>(I92-I97)*H100</f>
        <v>0</v>
      </c>
      <c r="J100" s="240"/>
    </row>
    <row r="101" spans="2:10" x14ac:dyDescent="0.3">
      <c r="B101" s="132"/>
      <c r="C101" s="46"/>
      <c r="E101" s="3"/>
      <c r="G101" s="7"/>
      <c r="H101" s="8"/>
      <c r="I101" s="174"/>
      <c r="J101" s="7"/>
    </row>
    <row r="102" spans="2:10" x14ac:dyDescent="0.3">
      <c r="B102" s="132"/>
      <c r="C102" s="147"/>
      <c r="D102" s="134" t="s">
        <v>68</v>
      </c>
      <c r="E102" s="135"/>
      <c r="F102" s="134"/>
      <c r="G102" s="136"/>
      <c r="H102" s="137"/>
      <c r="I102" s="138">
        <f>I99-I100</f>
        <v>107211.2818479132</v>
      </c>
      <c r="J102" s="121"/>
    </row>
    <row r="103" spans="2:10" x14ac:dyDescent="0.3">
      <c r="B103" s="132"/>
      <c r="C103" s="46"/>
      <c r="E103" s="3"/>
      <c r="G103" s="7"/>
      <c r="H103" s="8"/>
      <c r="I103" s="35"/>
      <c r="J103" s="7"/>
    </row>
    <row r="104" spans="2:10" x14ac:dyDescent="0.3">
      <c r="B104" s="132"/>
      <c r="C104" s="68" t="s">
        <v>69</v>
      </c>
      <c r="D104" s="69" t="s">
        <v>70</v>
      </c>
      <c r="E104" s="70"/>
      <c r="F104" s="69"/>
      <c r="G104" s="71"/>
      <c r="H104" s="72"/>
      <c r="I104" s="73"/>
      <c r="J104" s="7"/>
    </row>
    <row r="105" spans="2:10" x14ac:dyDescent="0.3">
      <c r="B105" s="132"/>
      <c r="C105" s="68"/>
      <c r="D105" s="175" t="s">
        <v>71</v>
      </c>
      <c r="E105" s="176"/>
      <c r="F105" s="175"/>
      <c r="G105" s="177"/>
      <c r="H105" s="178"/>
      <c r="I105" s="179">
        <f>I5</f>
        <v>55901.919999999998</v>
      </c>
      <c r="J105" s="7"/>
    </row>
    <row r="106" spans="2:10" x14ac:dyDescent="0.3">
      <c r="B106" s="132"/>
      <c r="C106" s="147"/>
      <c r="D106" s="134" t="s">
        <v>72</v>
      </c>
      <c r="E106" s="135"/>
      <c r="F106" s="134"/>
      <c r="G106" s="136"/>
      <c r="H106" s="137"/>
      <c r="I106" s="180">
        <f>I102-I105</f>
        <v>51309.361847913198</v>
      </c>
      <c r="J106" s="121"/>
    </row>
    <row r="107" spans="2:10" x14ac:dyDescent="0.3">
      <c r="B107" s="132"/>
      <c r="C107" s="68"/>
      <c r="D107" s="175" t="s">
        <v>4</v>
      </c>
      <c r="E107" s="176"/>
      <c r="F107" s="175"/>
      <c r="G107" s="177"/>
      <c r="H107" s="178"/>
      <c r="I107" s="181">
        <f>I7</f>
        <v>13605.530259573374</v>
      </c>
      <c r="J107" s="7"/>
    </row>
    <row r="108" spans="2:10" x14ac:dyDescent="0.3">
      <c r="B108" s="132"/>
      <c r="C108" s="68"/>
      <c r="D108" s="175" t="s">
        <v>5</v>
      </c>
      <c r="E108" s="176"/>
      <c r="F108" s="175"/>
      <c r="G108" s="177"/>
      <c r="H108" s="178"/>
      <c r="I108" s="181">
        <f>I8</f>
        <v>14927.292438961706</v>
      </c>
      <c r="J108" s="7"/>
    </row>
    <row r="109" spans="2:10" x14ac:dyDescent="0.3">
      <c r="B109" s="132"/>
      <c r="C109" s="68"/>
      <c r="D109" s="175" t="s">
        <v>6</v>
      </c>
      <c r="E109" s="176"/>
      <c r="F109" s="175"/>
      <c r="G109" s="177"/>
      <c r="H109" s="178"/>
      <c r="I109" s="181">
        <f>I9</f>
        <v>9209.2343150860961</v>
      </c>
      <c r="J109" s="7"/>
    </row>
    <row r="110" spans="2:10" x14ac:dyDescent="0.3">
      <c r="B110" s="132"/>
      <c r="C110" s="68"/>
      <c r="D110" s="175" t="s">
        <v>7</v>
      </c>
      <c r="E110" s="176"/>
      <c r="F110" s="175"/>
      <c r="G110" s="177"/>
      <c r="H110" s="178"/>
      <c r="I110" s="181">
        <f>I10</f>
        <v>603.413168851195</v>
      </c>
      <c r="J110" s="7"/>
    </row>
    <row r="111" spans="2:10" x14ac:dyDescent="0.3">
      <c r="B111" s="132"/>
      <c r="C111" s="46"/>
      <c r="D111" s="182"/>
      <c r="E111" s="183"/>
      <c r="F111" s="182"/>
      <c r="G111" s="184"/>
      <c r="H111" s="185"/>
      <c r="I111" s="174"/>
      <c r="J111" s="7"/>
    </row>
    <row r="112" spans="2:10" x14ac:dyDescent="0.3">
      <c r="B112" s="132"/>
      <c r="C112" s="186"/>
      <c r="D112" s="187" t="s">
        <v>73</v>
      </c>
      <c r="E112" s="188"/>
      <c r="F112" s="187"/>
      <c r="G112" s="189"/>
      <c r="H112" s="190"/>
      <c r="I112" s="191">
        <f>I106-SUM(I107:I111)</f>
        <v>12963.891665440831</v>
      </c>
      <c r="J112" s="241"/>
    </row>
    <row r="113" spans="2:10" x14ac:dyDescent="0.3">
      <c r="B113" s="132"/>
      <c r="C113" s="46"/>
      <c r="E113" s="3"/>
      <c r="G113" s="7"/>
      <c r="H113" s="8"/>
      <c r="I113" s="35"/>
      <c r="J113" s="7"/>
    </row>
    <row r="114" spans="2:10" x14ac:dyDescent="0.3">
      <c r="B114" s="132"/>
      <c r="C114" s="192" t="s">
        <v>74</v>
      </c>
      <c r="D114" s="193" t="s">
        <v>75</v>
      </c>
      <c r="E114" s="194"/>
      <c r="F114" s="193"/>
      <c r="G114" s="195" t="s">
        <v>76</v>
      </c>
      <c r="H114" s="196"/>
      <c r="I114" s="197"/>
      <c r="J114" s="7"/>
    </row>
    <row r="115" spans="2:10" x14ac:dyDescent="0.3">
      <c r="B115" s="132"/>
      <c r="C115" s="198">
        <v>0.05</v>
      </c>
      <c r="D115" s="193" t="s">
        <v>8</v>
      </c>
      <c r="E115" s="194"/>
      <c r="F115" s="193"/>
      <c r="G115" s="199">
        <f>C115/C119</f>
        <v>0.28735632183908039</v>
      </c>
      <c r="H115" s="196"/>
      <c r="I115" s="197">
        <f>I112*G115</f>
        <v>3725.2562257013874</v>
      </c>
      <c r="J115" s="7"/>
    </row>
    <row r="116" spans="2:10" x14ac:dyDescent="0.3">
      <c r="B116" s="132"/>
      <c r="C116" s="198">
        <v>0.1</v>
      </c>
      <c r="D116" s="193" t="s">
        <v>9</v>
      </c>
      <c r="E116" s="194"/>
      <c r="F116" s="193"/>
      <c r="G116" s="199">
        <f>C116/C119</f>
        <v>0.57471264367816077</v>
      </c>
      <c r="H116" s="196"/>
      <c r="I116" s="197">
        <f>I112*G116</f>
        <v>7450.5124514027748</v>
      </c>
      <c r="J116" s="7"/>
    </row>
    <row r="117" spans="2:10" x14ac:dyDescent="0.3">
      <c r="B117" s="132"/>
      <c r="C117" s="198">
        <v>1.4999999999999999E-2</v>
      </c>
      <c r="D117" s="193" t="s">
        <v>10</v>
      </c>
      <c r="E117" s="194"/>
      <c r="F117" s="193"/>
      <c r="G117" s="199">
        <f>C117/C119</f>
        <v>8.6206896551724116E-2</v>
      </c>
      <c r="H117" s="196"/>
      <c r="I117" s="197">
        <f>I112*G117</f>
        <v>1117.5768677104163</v>
      </c>
      <c r="J117" s="7"/>
    </row>
    <row r="118" spans="2:10" x14ac:dyDescent="0.3">
      <c r="B118" s="132"/>
      <c r="C118" s="198">
        <v>8.9999999999999993E-3</v>
      </c>
      <c r="D118" s="193" t="s">
        <v>11</v>
      </c>
      <c r="E118" s="194"/>
      <c r="F118" s="193"/>
      <c r="G118" s="199">
        <f>C118/C119</f>
        <v>5.1724137931034468E-2</v>
      </c>
      <c r="H118" s="196"/>
      <c r="I118" s="197">
        <f>I112*G118</f>
        <v>670.54612062624972</v>
      </c>
      <c r="J118" s="7"/>
    </row>
    <row r="119" spans="2:10" x14ac:dyDescent="0.3">
      <c r="B119" s="132"/>
      <c r="C119" s="200">
        <f>SUM(C115:C118)</f>
        <v>0.17400000000000004</v>
      </c>
      <c r="D119" s="193"/>
      <c r="E119" s="194"/>
      <c r="F119" s="193"/>
      <c r="G119" s="195"/>
      <c r="H119" s="196"/>
      <c r="I119" s="197"/>
      <c r="J119" s="7"/>
    </row>
    <row r="120" spans="2:10" ht="15.6" x14ac:dyDescent="0.3">
      <c r="B120" s="201"/>
      <c r="C120" s="202"/>
      <c r="D120" s="203"/>
      <c r="E120" s="204"/>
      <c r="F120" s="203"/>
      <c r="G120" s="205"/>
      <c r="H120" s="206" t="s">
        <v>77</v>
      </c>
      <c r="I120" s="207">
        <f>SUM(I115:I118,I107:I110,I105,I97:I98,I100)</f>
        <v>129170.21909387132</v>
      </c>
      <c r="J120" s="60"/>
    </row>
    <row r="121" spans="2:10" x14ac:dyDescent="0.3">
      <c r="B121" s="208"/>
      <c r="C121" s="46"/>
      <c r="E121" s="3"/>
      <c r="G121" s="7"/>
      <c r="H121" s="8"/>
      <c r="I121" s="35"/>
      <c r="J121" s="7"/>
    </row>
    <row r="122" spans="2:10" ht="15.6" x14ac:dyDescent="0.3">
      <c r="B122" s="125" t="s">
        <v>78</v>
      </c>
      <c r="C122" s="209"/>
      <c r="D122" s="210" t="s">
        <v>79</v>
      </c>
      <c r="E122" s="210"/>
      <c r="F122" s="210"/>
      <c r="G122" s="210"/>
      <c r="H122" s="210"/>
      <c r="I122" s="211"/>
      <c r="J122" s="7"/>
    </row>
    <row r="123" spans="2:10" x14ac:dyDescent="0.3">
      <c r="B123" s="132"/>
      <c r="C123" s="212">
        <f>C26</f>
        <v>1E-3</v>
      </c>
      <c r="D123" s="213" t="s">
        <v>19</v>
      </c>
      <c r="E123" s="214"/>
      <c r="F123" s="213"/>
      <c r="G123" s="215">
        <f>J26</f>
        <v>1.4257416699595822E-2</v>
      </c>
      <c r="H123" s="216"/>
      <c r="I123" s="217">
        <f>$I$128*G123</f>
        <v>108.29017428486902</v>
      </c>
      <c r="J123" s="242"/>
    </row>
    <row r="124" spans="2:10" x14ac:dyDescent="0.3">
      <c r="B124" s="132"/>
      <c r="C124" s="212">
        <f>C27</f>
        <v>8.9999999999999993E-3</v>
      </c>
      <c r="D124" s="213" t="s">
        <v>21</v>
      </c>
      <c r="E124" s="214"/>
      <c r="F124" s="213"/>
      <c r="G124" s="215">
        <f>J27</f>
        <v>0.12831675029636239</v>
      </c>
      <c r="H124" s="218"/>
      <c r="I124" s="217">
        <f>$I$128*G124</f>
        <v>974.61156856382104</v>
      </c>
      <c r="J124" s="235"/>
    </row>
    <row r="125" spans="2:10" x14ac:dyDescent="0.3">
      <c r="B125" s="132"/>
      <c r="C125" s="212">
        <v>0</v>
      </c>
      <c r="D125" s="213" t="s">
        <v>22</v>
      </c>
      <c r="E125" s="214"/>
      <c r="F125" s="213"/>
      <c r="G125" s="215">
        <f>J28</f>
        <v>0</v>
      </c>
      <c r="H125" s="218"/>
      <c r="I125" s="217">
        <f>$I$128*G125</f>
        <v>0</v>
      </c>
      <c r="J125" s="235"/>
    </row>
    <row r="126" spans="2:10" x14ac:dyDescent="0.3">
      <c r="B126" s="132"/>
      <c r="C126" s="212">
        <f>C29</f>
        <v>0.05</v>
      </c>
      <c r="D126" s="213" t="s">
        <v>24</v>
      </c>
      <c r="E126" s="214"/>
      <c r="F126" s="213"/>
      <c r="G126" s="215">
        <f>J29</f>
        <v>0.85742583300404185</v>
      </c>
      <c r="H126" s="218"/>
      <c r="I126" s="217">
        <f>$I$128*G126</f>
        <v>6512.4555765413579</v>
      </c>
      <c r="J126" s="235"/>
    </row>
    <row r="127" spans="2:10" x14ac:dyDescent="0.3">
      <c r="B127" s="132"/>
      <c r="C127" s="209"/>
      <c r="D127" s="214"/>
      <c r="E127" s="214"/>
      <c r="F127" s="219"/>
      <c r="G127" s="219"/>
      <c r="H127" s="220"/>
      <c r="I127" s="221"/>
      <c r="J127" s="235"/>
    </row>
    <row r="128" spans="2:10" x14ac:dyDescent="0.3">
      <c r="B128" s="201"/>
      <c r="C128" s="222"/>
      <c r="D128" s="223"/>
      <c r="E128" s="224"/>
      <c r="F128" s="223"/>
      <c r="G128" s="225"/>
      <c r="H128" s="226" t="s">
        <v>80</v>
      </c>
      <c r="I128" s="227">
        <f>I93</f>
        <v>7595.3573193900475</v>
      </c>
      <c r="J128" s="121"/>
    </row>
    <row r="129" spans="2:10" x14ac:dyDescent="0.3">
      <c r="B129" s="208"/>
      <c r="C129" s="228"/>
      <c r="E129" s="3"/>
      <c r="G129" s="7"/>
      <c r="H129" s="8"/>
      <c r="I129" s="9"/>
      <c r="J129" s="7"/>
    </row>
    <row r="130" spans="2:10" ht="18" x14ac:dyDescent="0.35">
      <c r="B130" s="208"/>
      <c r="C130" s="229"/>
      <c r="D130" s="10"/>
      <c r="E130" s="59"/>
      <c r="F130" s="10"/>
      <c r="G130" s="230"/>
      <c r="H130" s="231" t="s">
        <v>81</v>
      </c>
      <c r="I130" s="232">
        <f>SUM(I120,I128,I90,I71:I88)</f>
        <v>157395.0733090078</v>
      </c>
      <c r="J130" s="230"/>
    </row>
  </sheetData>
  <mergeCells count="21">
    <mergeCell ref="F84:G84"/>
    <mergeCell ref="F85:G85"/>
    <mergeCell ref="B122:B128"/>
    <mergeCell ref="D122:I122"/>
    <mergeCell ref="F127:G127"/>
    <mergeCell ref="F45:G45"/>
    <mergeCell ref="F46:G46"/>
    <mergeCell ref="F54:G54"/>
    <mergeCell ref="F55:G55"/>
    <mergeCell ref="B64:I65"/>
    <mergeCell ref="B68:B120"/>
    <mergeCell ref="F73:G73"/>
    <mergeCell ref="F74:G74"/>
    <mergeCell ref="F75:G75"/>
    <mergeCell ref="F76:G76"/>
    <mergeCell ref="C4:I4"/>
    <mergeCell ref="B5:B23"/>
    <mergeCell ref="C25:H25"/>
    <mergeCell ref="C35:H35"/>
    <mergeCell ref="F43:G43"/>
    <mergeCell ref="F44:G4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2026-06-11T13:50:34Z</dcterms:created>
  <dcterms:modified xsi:type="dcterms:W3CDTF">2026-06-11T13:52:40Z</dcterms:modified>
</cp:coreProperties>
</file>