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44EE3E13-224B-4D08-9744-0D14C8225C92}" xr6:coauthVersionLast="43" xr6:coauthVersionMax="43" xr10:uidLastSave="{00000000-0000-0000-0000-000000000000}"/>
  <bookViews>
    <workbookView xWindow="-108" yWindow="-108" windowWidth="23256" windowHeight="12456" xr2:uid="{F93E458D-331D-4ECE-A60B-50BCD1B9A0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O77" i="1" l="1"/>
  <c r="AI137" i="1" l="1"/>
  <c r="AI135" i="1"/>
  <c r="AI134" i="1"/>
  <c r="AK130" i="1"/>
  <c r="AM129" i="1" s="1"/>
  <c r="AM128" i="1"/>
  <c r="AM126" i="1"/>
  <c r="AI122" i="1"/>
  <c r="AL97" i="1"/>
  <c r="AL96" i="1"/>
  <c r="AO94" i="1"/>
  <c r="AO79" i="1"/>
  <c r="R55" i="1"/>
  <c r="Y54" i="1"/>
  <c r="AB56" i="1" s="1"/>
  <c r="O54" i="1"/>
  <c r="R56" i="1" s="1"/>
  <c r="E54" i="1"/>
  <c r="H56" i="1" s="1"/>
  <c r="Z47" i="1"/>
  <c r="P47" i="1"/>
  <c r="F47" i="1"/>
  <c r="AN46" i="1"/>
  <c r="AN87" i="1" s="1"/>
  <c r="AL46" i="1"/>
  <c r="AL87" i="1" s="1"/>
  <c r="AB46" i="1"/>
  <c r="R46" i="1"/>
  <c r="H46" i="1"/>
  <c r="AL45" i="1"/>
  <c r="AL86" i="1" s="1"/>
  <c r="AL44" i="1"/>
  <c r="AL47" i="1" s="1"/>
  <c r="Y43" i="1"/>
  <c r="AB45" i="1" s="1"/>
  <c r="Y50" i="1" s="1"/>
  <c r="O43" i="1"/>
  <c r="E43" i="1"/>
  <c r="AC42" i="1"/>
  <c r="S42" i="1"/>
  <c r="I42" i="1"/>
  <c r="AC40" i="1"/>
  <c r="S40" i="1"/>
  <c r="I40" i="1"/>
  <c r="AO38" i="1"/>
  <c r="AO37" i="1"/>
  <c r="AO40" i="1" s="1"/>
  <c r="AO80" i="1" s="1"/>
  <c r="C23" i="1"/>
  <c r="I24" i="1" s="1"/>
  <c r="W22" i="1"/>
  <c r="W23" i="1" s="1"/>
  <c r="AC24" i="1" s="1"/>
  <c r="M22" i="1"/>
  <c r="M23" i="1" s="1"/>
  <c r="S24" i="1" s="1"/>
  <c r="C22" i="1"/>
  <c r="AO17" i="1"/>
  <c r="AO5" i="1"/>
  <c r="AO114" i="1" s="1"/>
  <c r="R57" i="1" l="1"/>
  <c r="S53" i="1" s="1"/>
  <c r="Y48" i="1"/>
  <c r="Y49" i="1" s="1"/>
  <c r="AK43" i="1"/>
  <c r="AK84" i="1" s="1"/>
  <c r="H45" i="1"/>
  <c r="E50" i="1" s="1"/>
  <c r="O30" i="1"/>
  <c r="S30" i="1" s="1"/>
  <c r="S20" i="1"/>
  <c r="S13" i="1"/>
  <c r="S12" i="1"/>
  <c r="S8" i="1"/>
  <c r="S18" i="1"/>
  <c r="S15" i="1"/>
  <c r="S14" i="1"/>
  <c r="S9" i="1"/>
  <c r="S19" i="1"/>
  <c r="S16" i="1"/>
  <c r="S7" i="1"/>
  <c r="S10" i="1"/>
  <c r="O29" i="1"/>
  <c r="S29" i="1" s="1"/>
  <c r="O27" i="1" s="1"/>
  <c r="S27" i="1" s="1"/>
  <c r="AK48" i="1"/>
  <c r="AK49" i="1" s="1"/>
  <c r="AC19" i="1"/>
  <c r="AC16" i="1"/>
  <c r="AC7" i="1"/>
  <c r="AC9" i="1"/>
  <c r="AC20" i="1"/>
  <c r="AC13" i="1"/>
  <c r="AC12" i="1"/>
  <c r="AC8" i="1"/>
  <c r="Y30" i="1"/>
  <c r="AC30" i="1" s="1"/>
  <c r="AC18" i="1"/>
  <c r="AC15" i="1"/>
  <c r="AC10" i="1"/>
  <c r="AC14" i="1"/>
  <c r="I14" i="1"/>
  <c r="I9" i="1"/>
  <c r="I19" i="1"/>
  <c r="I16" i="1"/>
  <c r="I15" i="1"/>
  <c r="I10" i="1"/>
  <c r="I20" i="1"/>
  <c r="E29" i="1" s="1"/>
  <c r="I29" i="1" s="1"/>
  <c r="I13" i="1"/>
  <c r="I12" i="1"/>
  <c r="I8" i="1"/>
  <c r="I7" i="1"/>
  <c r="E30" i="1"/>
  <c r="I30" i="1" s="1"/>
  <c r="I18" i="1"/>
  <c r="Y51" i="1"/>
  <c r="AO42" i="1"/>
  <c r="R45" i="1"/>
  <c r="O50" i="1" s="1"/>
  <c r="O48" i="1"/>
  <c r="O49" i="1" s="1"/>
  <c r="E48" i="1"/>
  <c r="E49" i="1" s="1"/>
  <c r="E51" i="1" s="1"/>
  <c r="AK54" i="1"/>
  <c r="AL85" i="1"/>
  <c r="AL88" i="1" s="1"/>
  <c r="H55" i="1"/>
  <c r="H57" i="1" s="1"/>
  <c r="I53" i="1" s="1"/>
  <c r="I61" i="1" s="1"/>
  <c r="AM127" i="1"/>
  <c r="AB55" i="1"/>
  <c r="AB57" i="1" s="1"/>
  <c r="AC53" i="1" s="1"/>
  <c r="AO53" i="1" s="1"/>
  <c r="O51" i="1" l="1"/>
  <c r="Y29" i="1"/>
  <c r="AC29" i="1" s="1"/>
  <c r="Y27" i="1" s="1"/>
  <c r="AC27" i="1" s="1"/>
  <c r="AO18" i="1"/>
  <c r="AN45" i="1"/>
  <c r="AK50" i="1" s="1"/>
  <c r="AK51" i="1" s="1"/>
  <c r="AO16" i="1"/>
  <c r="AO29" i="1"/>
  <c r="E27" i="1"/>
  <c r="I27" i="1" s="1"/>
  <c r="E28" i="1"/>
  <c r="I28" i="1" s="1"/>
  <c r="AO10" i="1"/>
  <c r="AO19" i="1"/>
  <c r="AO14" i="1"/>
  <c r="AM148" i="1" s="1"/>
  <c r="AO12" i="1"/>
  <c r="AC59" i="1"/>
  <c r="AK89" i="1"/>
  <c r="AK90" i="1" s="1"/>
  <c r="AN86" i="1"/>
  <c r="AK91" i="1" s="1"/>
  <c r="O28" i="1"/>
  <c r="S28" i="1" s="1"/>
  <c r="AO15" i="1"/>
  <c r="AO13" i="1"/>
  <c r="E59" i="1"/>
  <c r="AO30" i="1"/>
  <c r="AO7" i="1"/>
  <c r="AO20" i="1"/>
  <c r="AK95" i="1"/>
  <c r="AN56" i="1"/>
  <c r="AN55" i="1"/>
  <c r="AO9" i="1"/>
  <c r="AO8" i="1"/>
  <c r="S59" i="1"/>
  <c r="AN57" i="1" l="1"/>
  <c r="Y28" i="1"/>
  <c r="AC28" i="1" s="1"/>
  <c r="AN97" i="1"/>
  <c r="AN96" i="1"/>
  <c r="AO59" i="1"/>
  <c r="AC61" i="1"/>
  <c r="AM146" i="1"/>
  <c r="I32" i="1"/>
  <c r="T28" i="1" s="1"/>
  <c r="J27" i="1"/>
  <c r="AO27" i="1"/>
  <c r="S32" i="1"/>
  <c r="AO118" i="1"/>
  <c r="S61" i="1"/>
  <c r="AK92" i="1"/>
  <c r="AO83" i="1" s="1"/>
  <c r="AO119" i="1"/>
  <c r="AC32" i="1"/>
  <c r="AO117" i="1"/>
  <c r="AO116" i="1"/>
  <c r="AO24" i="1"/>
  <c r="AI7" i="1" s="1"/>
  <c r="AM147" i="1"/>
  <c r="AO28" i="1"/>
  <c r="AI15" i="1" l="1"/>
  <c r="AI154" i="1" s="1"/>
  <c r="AI8" i="1"/>
  <c r="AI13" i="1"/>
  <c r="AI145" i="1" s="1"/>
  <c r="AI9" i="1"/>
  <c r="AI10" i="1"/>
  <c r="AD27" i="1"/>
  <c r="AD28" i="1"/>
  <c r="J28" i="1"/>
  <c r="AI11" i="1"/>
  <c r="AI17" i="1"/>
  <c r="AI16" i="1"/>
  <c r="AI155" i="1" s="1"/>
  <c r="AI18" i="1"/>
  <c r="AN106" i="1" s="1"/>
  <c r="AI19" i="1"/>
  <c r="AN107" i="1" s="1"/>
  <c r="S34" i="1"/>
  <c r="T32" i="1"/>
  <c r="AI14" i="1"/>
  <c r="AI153" i="1" s="1"/>
  <c r="AO81" i="1"/>
  <c r="AO61" i="1"/>
  <c r="AC34" i="1"/>
  <c r="AD32" i="1" s="1"/>
  <c r="AI20" i="1"/>
  <c r="AN109" i="1" s="1"/>
  <c r="AO32" i="1"/>
  <c r="AP28" i="1" s="1"/>
  <c r="AM135" i="1" s="1"/>
  <c r="I34" i="1"/>
  <c r="J32" i="1" s="1"/>
  <c r="AD29" i="1"/>
  <c r="T27" i="1"/>
  <c r="AD30" i="1"/>
  <c r="J29" i="1"/>
  <c r="J30" i="1"/>
  <c r="T29" i="1"/>
  <c r="T30" i="1"/>
  <c r="AP27" i="1" l="1"/>
  <c r="AM134" i="1" s="1"/>
  <c r="I63" i="1"/>
  <c r="J24" i="1"/>
  <c r="AC63" i="1"/>
  <c r="AD24" i="1"/>
  <c r="S63" i="1"/>
  <c r="T24" i="1"/>
  <c r="AO34" i="1"/>
  <c r="AP32" i="1" s="1"/>
  <c r="AP53" i="1"/>
  <c r="AP42" i="1"/>
  <c r="AP29" i="1"/>
  <c r="AM136" i="1" s="1"/>
  <c r="AP30" i="1"/>
  <c r="AM137" i="1" s="1"/>
  <c r="AI22" i="1"/>
  <c r="AN22" i="1" s="1"/>
  <c r="AO63" i="1" l="1"/>
  <c r="AP24" i="1"/>
  <c r="AO69" i="1" l="1"/>
  <c r="AO74" i="1" s="1"/>
  <c r="AO82" i="1"/>
  <c r="AO100" i="1" s="1"/>
  <c r="AO102" i="1" l="1"/>
  <c r="AO139" i="1" s="1"/>
  <c r="AO101" i="1"/>
  <c r="AO122" i="1" l="1"/>
  <c r="AO107" i="1"/>
  <c r="AO106" i="1"/>
  <c r="AO108" i="1" s="1"/>
  <c r="AO137" i="1"/>
  <c r="AO136" i="1"/>
  <c r="AO135" i="1"/>
  <c r="AO134" i="1"/>
  <c r="AO109" i="1" l="1"/>
  <c r="AO111" i="1" s="1"/>
  <c r="AO115" i="1" s="1"/>
  <c r="AO121" i="1" s="1"/>
  <c r="AO123" i="1" s="1"/>
  <c r="AO151" i="1" l="1"/>
  <c r="AO129" i="1"/>
  <c r="AO127" i="1"/>
  <c r="AO144" i="1"/>
  <c r="AO128" i="1"/>
  <c r="AO126" i="1"/>
  <c r="AO131" i="1" l="1"/>
  <c r="AP129" i="1" s="1"/>
  <c r="AI126" i="1" l="1"/>
  <c r="AI128" i="1"/>
  <c r="AI127" i="1"/>
  <c r="AP127" i="1"/>
  <c r="AO143" i="1"/>
  <c r="AO150" i="1"/>
  <c r="AO145" i="1"/>
  <c r="AO141" i="1"/>
  <c r="AI129" i="1"/>
  <c r="AP126" i="1"/>
  <c r="AP128" i="1"/>
  <c r="AO146" i="1" l="1"/>
  <c r="AI146" i="1" s="1"/>
  <c r="AO147" i="1"/>
  <c r="AI147" i="1" s="1"/>
  <c r="AO148" i="1"/>
  <c r="AI148" i="1" s="1"/>
  <c r="AO155" i="1"/>
  <c r="AO154" i="1"/>
  <c r="AO153" i="1"/>
  <c r="AO152" i="1" l="1"/>
  <c r="AI152" i="1" s="1"/>
</calcChain>
</file>

<file path=xl/sharedStrings.xml><?xml version="1.0" encoding="utf-8"?>
<sst xmlns="http://schemas.openxmlformats.org/spreadsheetml/2006/main" count="354" uniqueCount="113">
  <si>
    <t>Motor de descontos do resultado residual operacional</t>
  </si>
  <si>
    <t>ABteste1</t>
  </si>
  <si>
    <t>Obra Alex Sandro Fischer</t>
  </si>
  <si>
    <t>Obra Everton Amaral</t>
  </si>
  <si>
    <t>Total produtos</t>
  </si>
  <si>
    <t>Precificação do produto</t>
  </si>
  <si>
    <t>Custo produto</t>
  </si>
  <si>
    <t>MO Administrativa</t>
  </si>
  <si>
    <t>Desp.fixa</t>
  </si>
  <si>
    <t>Desp. Variável</t>
  </si>
  <si>
    <t>Desp.financeira</t>
  </si>
  <si>
    <t>RT - Comissão Reserva Técnica</t>
  </si>
  <si>
    <t>Comissão</t>
  </si>
  <si>
    <t>Lucro</t>
  </si>
  <si>
    <t>IRPJ</t>
  </si>
  <si>
    <t>CSLL</t>
  </si>
  <si>
    <t>ICMS</t>
  </si>
  <si>
    <t>ISS</t>
  </si>
  <si>
    <t>PIS/COFINS</t>
  </si>
  <si>
    <t>Total das alíquotas</t>
  </si>
  <si>
    <t>Coeficiente</t>
  </si>
  <si>
    <t>Coeficiente da margem de contribuição</t>
  </si>
  <si>
    <t>Operação de venda "por dentro"</t>
  </si>
  <si>
    <t>Peso sobre o valor TOTAL GERAL DE VENDA</t>
  </si>
  <si>
    <t>Calculo por fora</t>
  </si>
  <si>
    <t>IBS</t>
  </si>
  <si>
    <t>BC: (OpDentro - ICMS-PIS/COFINS-ISS)+IS+Desp.Aces</t>
  </si>
  <si>
    <t>CBS</t>
  </si>
  <si>
    <t>IS</t>
  </si>
  <si>
    <t>BC: (OpDentro - ICMS-PIS/COFINS-ISS)+Desp.Aces</t>
  </si>
  <si>
    <t>IPI</t>
  </si>
  <si>
    <t>BC: OpDentro+Desp.Aces</t>
  </si>
  <si>
    <t>Operação de venda "por fora"</t>
  </si>
  <si>
    <t>Total geral de venda (por dentro + por fora)</t>
  </si>
  <si>
    <t>Despesas Acessórias</t>
  </si>
  <si>
    <t>Frete</t>
  </si>
  <si>
    <t>Seguro</t>
  </si>
  <si>
    <t>As Despesas Acessórias integram a base de cálculo do IPI, IBS, CBS e ICMS Complementar conforme legislação.</t>
  </si>
  <si>
    <t>Total acessórias / Fretes  e seguros</t>
  </si>
  <si>
    <t>Total acessórias</t>
  </si>
  <si>
    <t>Acionador</t>
  </si>
  <si>
    <t>ICMS ST</t>
  </si>
  <si>
    <t>Base</t>
  </si>
  <si>
    <t>BC: (OpDentro+Desp.Aces+IPI)</t>
  </si>
  <si>
    <t xml:space="preserve"> ICMS-ST Presumido</t>
  </si>
  <si>
    <t>MVA Original</t>
  </si>
  <si>
    <t>Alíquota interestadual</t>
  </si>
  <si>
    <t>Alíquota interna destino</t>
  </si>
  <si>
    <t>MVA Ajustada</t>
  </si>
  <si>
    <t>Base presumida</t>
  </si>
  <si>
    <t>ICMS presumido destino</t>
  </si>
  <si>
    <t>BC: (BasePresumixAlíqInterDestin)</t>
  </si>
  <si>
    <t>ICMS Próprio</t>
  </si>
  <si>
    <t>BC: (BasePresumixAlíqInter)</t>
  </si>
  <si>
    <t>BC: (ICMSPresDestino-ICMSProprio)</t>
  </si>
  <si>
    <t>DIFAL</t>
  </si>
  <si>
    <t>ICMS Destino</t>
  </si>
  <si>
    <t>ICMS Interestadual</t>
  </si>
  <si>
    <t>Difal</t>
  </si>
  <si>
    <t>ICMS Complementar</t>
  </si>
  <si>
    <t>BC: (IPI+Desp.Aces)xICMS</t>
  </si>
  <si>
    <t>Alíquotas tributárias adicionais (avançado)</t>
  </si>
  <si>
    <t>Valor  do produto</t>
  </si>
  <si>
    <t>Valor  do orçamento</t>
  </si>
  <si>
    <t>Produto inserido manualmente</t>
  </si>
  <si>
    <t>Produto 1</t>
  </si>
  <si>
    <t>produto 2</t>
  </si>
  <si>
    <t>Apuração do Resultado Residual Opracional</t>
  </si>
  <si>
    <t>Deduções da operação "por dentro" por etapa, respeitando o efeito cascata</t>
  </si>
  <si>
    <t>Etapa 1</t>
  </si>
  <si>
    <t>Desconto</t>
  </si>
  <si>
    <t>Valor pós desconto</t>
  </si>
  <si>
    <t>Total produtos manualmente</t>
  </si>
  <si>
    <t>Despesas acessórias</t>
  </si>
  <si>
    <t>ICMS-ST</t>
  </si>
  <si>
    <t>Âncora &lt;Operação de venda "por dentro"&gt;</t>
  </si>
  <si>
    <t>Resultado do peso (por dentro / valor total)</t>
  </si>
  <si>
    <t>Apanhado de todos produtos que estão no orçamento, considerando a precificação "por dentro"</t>
  </si>
  <si>
    <t>Resultado do peso (por fora / valor total)</t>
  </si>
  <si>
    <t>Apanhado de todos produtos que estãono orçamento, considerando a precificação "por fora"</t>
  </si>
  <si>
    <t>Etapa 2</t>
  </si>
  <si>
    <t>Desconto impostos</t>
  </si>
  <si>
    <t>Apanhado de ICMS sobre o total "valor do orçamento" (PESO dessa alíquota),  essa alíquota (total ICMS dos produtos / total do orçamento) deve ser abatida nessa etapa.</t>
  </si>
  <si>
    <t>Resultado pós dedução ICMS/ISS</t>
  </si>
  <si>
    <t>Apanhado de PIS/COFINS sobre o total "valor do orçamento" (PESO dessa alíquota),  essa alíquota (total PIS/COFINS dos produtos / total do orçamento) deve ser abatida nessa etapa.</t>
  </si>
  <si>
    <t>Resultado pós dedução impostos por dentro</t>
  </si>
  <si>
    <t>Etapa 3</t>
  </si>
  <si>
    <t>Redução dos custos e despesas</t>
  </si>
  <si>
    <t>Custos</t>
  </si>
  <si>
    <t>Valor de custos de todos produtos considerados no orçamento</t>
  </si>
  <si>
    <t>Resultado após redução dos custos</t>
  </si>
  <si>
    <t>Valor de despesas de todos produtos considerados no orçamento</t>
  </si>
  <si>
    <t>Resultado residual operacional</t>
  </si>
  <si>
    <t>Etapa 4</t>
  </si>
  <si>
    <t>Redução proporcional</t>
  </si>
  <si>
    <t>Peso</t>
  </si>
  <si>
    <t>Apanhado de COMISSãO sobre o total "valor do orçamento",  essa alíquota (total COMISSÂO dos produtos / total do orçamento) deve ser aplicada nessa etapa.</t>
  </si>
  <si>
    <t>Apanhado de LUCRO sobre o total "valor do orçamento",  essa alíquota (total LUCRO dos produtos / total do orçamento) deve ser aplicada nessa etapa.</t>
  </si>
  <si>
    <t>Apanhado de IRPJ sobre o total "valor do orçamento",  essa alíquota (total IRPJ dos produtos / total do orçamento) deve ser aplicada nessa etapa.</t>
  </si>
  <si>
    <t>Apanhado de CSLL sobre o total "valor do orçamento",  essa alíquota (total CSLL dos produtos / total do orçamento) deve ser aplicada nessa etapa.</t>
  </si>
  <si>
    <t>Total Operação de venda "por dentro"</t>
  </si>
  <si>
    <t>Operação             "por fora"</t>
  </si>
  <si>
    <t>Impostos por fora</t>
  </si>
  <si>
    <t>Apanhado de IBS sobre o total "valor do orçamento" (PESO dessa alíquota),  essa alíquota (total IBS dos produtos / total do orçamento) deve ser abatida nessa etapa.</t>
  </si>
  <si>
    <t>Apanhado de CBS sobre o total "valor do orçamento" (PESO dessa alíquota),  essa alíquota (total CBS dos produtos / total do orçamento) deve ser abatida nessa etapa.</t>
  </si>
  <si>
    <t>Apanhado de IS sobre o total "valor do orçamento" (PESO dessa alíquota),  essa alíquota (total IS dos produtos / total do orçamento) deve ser abatida nessa etapa.</t>
  </si>
  <si>
    <t>Apanhado de IPI sobre o total "valor do orçamento" (PESO dessa alíquota),  essa alíquota (total IPI dos produtos / total do orçamento) deve ser abatida nessa etapa.</t>
  </si>
  <si>
    <t>Total Operação de venda "por fora"</t>
  </si>
  <si>
    <t>Total operações</t>
  </si>
  <si>
    <t>Operação por dentro</t>
  </si>
  <si>
    <t>Reduzindo do lucro</t>
  </si>
  <si>
    <t>RRO</t>
  </si>
  <si>
    <t>Reduzindo da Comissão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</si>
</sst>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.000%"/>
    <numFmt numFmtId="165" formatCode="0.00000%"/>
    <numFmt numFmtId="166" formatCode="0.0000%"/>
    <numFmt numFmtId="167" formatCode="_-&quot;R$&quot;\ * #,##0.000_-;\-&quot;R$&quot;\ * #,##0.000_-;_-&quot;R$&quot;\ * &quot;-&quot;?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B42318"/>
      <name val="Segoe UI"/>
      <family val="2"/>
    </font>
    <font>
      <sz val="8"/>
      <color rgb="FFFF0000"/>
      <name val="Calibri"/>
      <family val="2"/>
      <scheme val="minor"/>
    </font>
    <font>
      <sz val="8"/>
      <color rgb="FFFF0000"/>
      <name val="Segoe UI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color theme="0"/>
      <name val="Segoe UI"/>
      <family val="2"/>
    </font>
    <font>
      <sz val="11"/>
      <name val="Calibri"/>
      <family val="2"/>
      <scheme val="minor"/>
    </font>
    <font>
      <b/>
      <sz val="11"/>
      <color theme="0"/>
      <name val="Segoe UI"/>
      <family val="2"/>
    </font>
    <font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rgb="FFFF0000"/>
      <name val="Segoe UI"/>
      <family val="2"/>
    </font>
    <font>
      <b/>
      <sz val="9"/>
      <color theme="0"/>
      <name val="Segoe UI"/>
      <family val="2"/>
    </font>
    <font>
      <b/>
      <sz val="8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000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6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164" fontId="5" fillId="0" borderId="0" xfId="2" applyNumberFormat="1" applyFont="1" applyAlignment="1">
      <alignment horizontal="center"/>
    </xf>
    <xf numFmtId="44" fontId="5" fillId="0" borderId="0" xfId="1" applyFont="1"/>
    <xf numFmtId="44" fontId="5" fillId="2" borderId="0" xfId="1" applyFont="1" applyFill="1"/>
    <xf numFmtId="44" fontId="6" fillId="0" borderId="0" xfId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2" applyNumberFormat="1" applyFont="1"/>
    <xf numFmtId="44" fontId="7" fillId="2" borderId="0" xfId="1" applyFont="1" applyFill="1"/>
    <xf numFmtId="44" fontId="7" fillId="0" borderId="0" xfId="1" applyFont="1"/>
    <xf numFmtId="0" fontId="6" fillId="3" borderId="1" xfId="0" applyFont="1" applyFill="1" applyBorder="1" applyAlignment="1">
      <alignment horizontal="center"/>
    </xf>
    <xf numFmtId="0" fontId="0" fillId="3" borderId="2" xfId="0" applyFill="1" applyBorder="1"/>
    <xf numFmtId="0" fontId="6" fillId="3" borderId="2" xfId="0" applyFont="1" applyFill="1" applyBorder="1"/>
    <xf numFmtId="0" fontId="0" fillId="3" borderId="2" xfId="0" applyFill="1" applyBorder="1" applyAlignment="1">
      <alignment horizontal="center"/>
    </xf>
    <xf numFmtId="164" fontId="0" fillId="3" borderId="2" xfId="2" applyNumberFormat="1" applyFont="1" applyFill="1" applyBorder="1" applyAlignment="1">
      <alignment horizontal="center"/>
    </xf>
    <xf numFmtId="4" fontId="8" fillId="0" borderId="0" xfId="0" applyNumberFormat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3" borderId="0" xfId="0" applyFill="1"/>
    <xf numFmtId="0" fontId="6" fillId="3" borderId="0" xfId="0" applyFont="1" applyFill="1"/>
    <xf numFmtId="0" fontId="0" fillId="3" borderId="0" xfId="0" applyFill="1" applyAlignment="1">
      <alignment horizontal="center"/>
    </xf>
    <xf numFmtId="164" fontId="0" fillId="3" borderId="0" xfId="2" applyNumberFormat="1" applyFont="1" applyFill="1" applyAlignment="1">
      <alignment horizontal="center"/>
    </xf>
    <xf numFmtId="44" fontId="0" fillId="3" borderId="5" xfId="1" applyFont="1" applyFill="1" applyBorder="1"/>
    <xf numFmtId="44" fontId="0" fillId="2" borderId="0" xfId="1" applyFont="1" applyFill="1"/>
    <xf numFmtId="44" fontId="0" fillId="0" borderId="0" xfId="1" applyFont="1"/>
    <xf numFmtId="164" fontId="6" fillId="3" borderId="4" xfId="2" applyNumberFormat="1" applyFont="1" applyFill="1" applyBorder="1" applyAlignment="1">
      <alignment horizontal="center"/>
    </xf>
    <xf numFmtId="0" fontId="3" fillId="3" borderId="0" xfId="0" applyFont="1" applyFill="1"/>
    <xf numFmtId="0" fontId="9" fillId="3" borderId="0" xfId="0" applyFont="1" applyFill="1"/>
    <xf numFmtId="0" fontId="3" fillId="3" borderId="0" xfId="0" applyFont="1" applyFill="1" applyAlignment="1">
      <alignment horizontal="center"/>
    </xf>
    <xf numFmtId="164" fontId="3" fillId="3" borderId="0" xfId="2" applyNumberFormat="1" applyFont="1" applyFill="1" applyAlignment="1">
      <alignment horizontal="center"/>
    </xf>
    <xf numFmtId="44" fontId="10" fillId="4" borderId="5" xfId="1" applyFont="1" applyFill="1" applyBorder="1"/>
    <xf numFmtId="0" fontId="3" fillId="0" borderId="0" xfId="0" applyFont="1"/>
    <xf numFmtId="44" fontId="10" fillId="2" borderId="0" xfId="1" applyFont="1" applyFill="1"/>
    <xf numFmtId="44" fontId="10" fillId="0" borderId="0" xfId="1" applyFont="1"/>
    <xf numFmtId="9" fontId="6" fillId="0" borderId="6" xfId="2" applyFont="1" applyBorder="1" applyAlignment="1">
      <alignment horizontal="center"/>
    </xf>
    <xf numFmtId="164" fontId="0" fillId="0" borderId="0" xfId="2" applyNumberFormat="1" applyFont="1" applyAlignment="1">
      <alignment horizontal="center"/>
    </xf>
    <xf numFmtId="44" fontId="0" fillId="0" borderId="5" xfId="1" applyFont="1" applyBorder="1"/>
    <xf numFmtId="10" fontId="6" fillId="3" borderId="6" xfId="2" applyNumberFormat="1" applyFont="1" applyFill="1" applyBorder="1" applyAlignment="1">
      <alignment horizontal="center"/>
    </xf>
    <xf numFmtId="0" fontId="6" fillId="3" borderId="7" xfId="0" applyFont="1" applyFill="1" applyBorder="1"/>
    <xf numFmtId="10" fontId="6" fillId="3" borderId="4" xfId="2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64" fontId="6" fillId="3" borderId="0" xfId="2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164" fontId="0" fillId="0" borderId="0" xfId="0" applyNumberFormat="1"/>
    <xf numFmtId="0" fontId="6" fillId="3" borderId="6" xfId="0" applyFont="1" applyFill="1" applyBorder="1" applyAlignment="1">
      <alignment horizontal="center"/>
    </xf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164" fontId="0" fillId="3" borderId="7" xfId="2" applyNumberFormat="1" applyFont="1" applyFill="1" applyBorder="1" applyAlignment="1">
      <alignment horizontal="right"/>
    </xf>
    <xf numFmtId="44" fontId="0" fillId="3" borderId="8" xfId="1" applyFont="1" applyFill="1" applyBorder="1"/>
    <xf numFmtId="10" fontId="6" fillId="0" borderId="0" xfId="2" applyNumberFormat="1" applyFont="1" applyAlignment="1">
      <alignment horizontal="left"/>
    </xf>
    <xf numFmtId="165" fontId="6" fillId="0" borderId="0" xfId="2" applyNumberFormat="1" applyFont="1" applyAlignment="1">
      <alignment horizontal="left"/>
    </xf>
    <xf numFmtId="164" fontId="0" fillId="2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0" fillId="5" borderId="0" xfId="0" applyFill="1"/>
    <xf numFmtId="44" fontId="0" fillId="5" borderId="5" xfId="1" applyFont="1" applyFill="1" applyBorder="1"/>
    <xf numFmtId="44" fontId="0" fillId="2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164" fontId="6" fillId="5" borderId="4" xfId="2" applyNumberFormat="1" applyFont="1" applyFill="1" applyBorder="1" applyAlignment="1">
      <alignment horizontal="center"/>
    </xf>
    <xf numFmtId="44" fontId="6" fillId="5" borderId="0" xfId="0" applyNumberFormat="1" applyFont="1" applyFill="1"/>
    <xf numFmtId="0" fontId="0" fillId="5" borderId="0" xfId="0" applyFill="1" applyAlignment="1">
      <alignment horizontal="center"/>
    </xf>
    <xf numFmtId="164" fontId="6" fillId="5" borderId="0" xfId="2" applyNumberFormat="1" applyFont="1" applyFill="1" applyAlignment="1">
      <alignment horizontal="right"/>
    </xf>
    <xf numFmtId="166" fontId="6" fillId="0" borderId="0" xfId="2" applyNumberFormat="1" applyFont="1" applyAlignment="1">
      <alignment horizontal="left"/>
    </xf>
    <xf numFmtId="10" fontId="0" fillId="2" borderId="0" xfId="2" applyNumberFormat="1" applyFont="1" applyFill="1"/>
    <xf numFmtId="10" fontId="0" fillId="0" borderId="0" xfId="2" applyNumberFormat="1" applyFont="1"/>
    <xf numFmtId="166" fontId="0" fillId="2" borderId="0" xfId="2" applyNumberFormat="1" applyFont="1" applyFill="1"/>
    <xf numFmtId="166" fontId="0" fillId="0" borderId="0" xfId="2" applyNumberFormat="1" applyFont="1"/>
    <xf numFmtId="0" fontId="6" fillId="5" borderId="0" xfId="0" applyFont="1" applyFill="1"/>
    <xf numFmtId="164" fontId="0" fillId="5" borderId="0" xfId="2" applyNumberFormat="1" applyFont="1" applyFill="1" applyAlignment="1">
      <alignment horizontal="center"/>
    </xf>
    <xf numFmtId="0" fontId="6" fillId="5" borderId="4" xfId="0" applyFont="1" applyFill="1" applyBorder="1" applyAlignment="1">
      <alignment horizontal="center"/>
    </xf>
    <xf numFmtId="164" fontId="0" fillId="5" borderId="0" xfId="2" applyNumberFormat="1" applyFont="1" applyFill="1" applyAlignment="1">
      <alignment horizontal="right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164" fontId="11" fillId="0" borderId="0" xfId="2" applyNumberFormat="1" applyFont="1" applyAlignment="1">
      <alignment horizontal="right"/>
    </xf>
    <xf numFmtId="44" fontId="11" fillId="0" borderId="5" xfId="1" applyFont="1" applyBorder="1"/>
    <xf numFmtId="164" fontId="11" fillId="2" borderId="0" xfId="2" applyNumberFormat="1" applyFont="1" applyFill="1" applyAlignment="1">
      <alignment horizontal="right"/>
    </xf>
    <xf numFmtId="0" fontId="0" fillId="4" borderId="1" xfId="0" applyFill="1" applyBorder="1"/>
    <xf numFmtId="44" fontId="0" fillId="4" borderId="3" xfId="1" applyFont="1" applyFill="1" applyBorder="1"/>
    <xf numFmtId="0" fontId="0" fillId="4" borderId="4" xfId="0" applyFill="1" applyBorder="1"/>
    <xf numFmtId="0" fontId="6" fillId="4" borderId="4" xfId="0" applyFont="1" applyFill="1" applyBorder="1" applyAlignment="1">
      <alignment horizontal="center"/>
    </xf>
    <xf numFmtId="0" fontId="0" fillId="4" borderId="0" xfId="0" applyFill="1"/>
    <xf numFmtId="0" fontId="6" fillId="4" borderId="0" xfId="0" applyFont="1" applyFill="1"/>
    <xf numFmtId="0" fontId="0" fillId="4" borderId="0" xfId="0" applyFill="1" applyAlignment="1">
      <alignment horizontal="center"/>
    </xf>
    <xf numFmtId="164" fontId="0" fillId="4" borderId="0" xfId="2" applyNumberFormat="1" applyFont="1" applyFill="1" applyAlignment="1">
      <alignment horizontal="center"/>
    </xf>
    <xf numFmtId="44" fontId="0" fillId="4" borderId="5" xfId="1" applyFont="1" applyFill="1" applyBorder="1"/>
    <xf numFmtId="0" fontId="6" fillId="4" borderId="0" xfId="0" applyFont="1" applyFill="1" applyAlignment="1">
      <alignment horizontal="right"/>
    </xf>
    <xf numFmtId="0" fontId="0" fillId="4" borderId="7" xfId="0" applyFill="1" applyBorder="1"/>
    <xf numFmtId="0" fontId="6" fillId="4" borderId="7" xfId="0" applyFont="1" applyFill="1" applyBorder="1"/>
    <xf numFmtId="0" fontId="0" fillId="4" borderId="7" xfId="0" applyFill="1" applyBorder="1" applyAlignment="1">
      <alignment horizontal="center"/>
    </xf>
    <xf numFmtId="0" fontId="6" fillId="4" borderId="7" xfId="0" applyFont="1" applyFill="1" applyBorder="1" applyAlignment="1">
      <alignment horizontal="right"/>
    </xf>
    <xf numFmtId="44" fontId="0" fillId="4" borderId="8" xfId="1" applyFont="1" applyFill="1" applyBorder="1"/>
    <xf numFmtId="0" fontId="0" fillId="4" borderId="6" xfId="0" applyFill="1" applyBorder="1"/>
    <xf numFmtId="164" fontId="0" fillId="4" borderId="7" xfId="2" applyNumberFormat="1" applyFont="1" applyFill="1" applyBorder="1" applyAlignment="1">
      <alignment horizontal="right"/>
    </xf>
    <xf numFmtId="166" fontId="6" fillId="0" borderId="0" xfId="2" applyNumberFormat="1" applyFont="1" applyAlignment="1">
      <alignment horizontal="center"/>
    </xf>
    <xf numFmtId="164" fontId="6" fillId="5" borderId="9" xfId="2" applyNumberFormat="1" applyFont="1" applyFill="1" applyBorder="1" applyAlignment="1">
      <alignment horizontal="center"/>
    </xf>
    <xf numFmtId="44" fontId="0" fillId="5" borderId="0" xfId="1" applyFont="1" applyFill="1"/>
    <xf numFmtId="164" fontId="6" fillId="5" borderId="10" xfId="2" applyNumberFormat="1" applyFont="1" applyFill="1" applyBorder="1" applyAlignment="1">
      <alignment horizontal="center"/>
    </xf>
    <xf numFmtId="44" fontId="6" fillId="5" borderId="5" xfId="1" applyFont="1" applyFill="1" applyBorder="1"/>
    <xf numFmtId="0" fontId="6" fillId="5" borderId="0" xfId="0" applyFont="1" applyFill="1" applyAlignment="1">
      <alignment horizontal="right"/>
    </xf>
    <xf numFmtId="44" fontId="6" fillId="5" borderId="0" xfId="1" applyFont="1" applyFill="1" applyAlignment="1">
      <alignment horizontal="center"/>
    </xf>
    <xf numFmtId="44" fontId="6" fillId="5" borderId="0" xfId="1" applyFont="1" applyFill="1" applyAlignment="1">
      <alignment horizontal="right"/>
    </xf>
    <xf numFmtId="0" fontId="6" fillId="5" borderId="7" xfId="0" applyFont="1" applyFill="1" applyBorder="1"/>
    <xf numFmtId="44" fontId="6" fillId="5" borderId="7" xfId="0" applyNumberFormat="1" applyFont="1" applyFill="1" applyBorder="1"/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164" fontId="6" fillId="5" borderId="7" xfId="2" applyNumberFormat="1" applyFont="1" applyFill="1" applyBorder="1" applyAlignment="1">
      <alignment horizontal="right"/>
    </xf>
    <xf numFmtId="10" fontId="6" fillId="5" borderId="0" xfId="2" applyNumberFormat="1" applyFont="1" applyFill="1"/>
    <xf numFmtId="44" fontId="6" fillId="5" borderId="7" xfId="1" applyFont="1" applyFill="1" applyBorder="1" applyAlignment="1">
      <alignment horizontal="center"/>
    </xf>
    <xf numFmtId="44" fontId="6" fillId="5" borderId="0" xfId="1" applyFont="1" applyFill="1"/>
    <xf numFmtId="10" fontId="6" fillId="5" borderId="0" xfId="2" applyNumberFormat="1" applyFont="1" applyFill="1" applyAlignment="1">
      <alignment horizontal="center"/>
    </xf>
    <xf numFmtId="0" fontId="0" fillId="6" borderId="6" xfId="0" applyFill="1" applyBorder="1"/>
    <xf numFmtId="0" fontId="6" fillId="6" borderId="6" xfId="0" applyFont="1" applyFill="1" applyBorder="1" applyAlignment="1">
      <alignment horizontal="center"/>
    </xf>
    <xf numFmtId="0" fontId="0" fillId="6" borderId="0" xfId="0" applyFill="1"/>
    <xf numFmtId="44" fontId="0" fillId="6" borderId="8" xfId="1" applyFont="1" applyFill="1" applyBorder="1"/>
    <xf numFmtId="0" fontId="0" fillId="6" borderId="7" xfId="0" applyFill="1" applyBorder="1"/>
    <xf numFmtId="0" fontId="0" fillId="6" borderId="7" xfId="0" applyFill="1" applyBorder="1" applyAlignment="1">
      <alignment horizontal="center"/>
    </xf>
    <xf numFmtId="164" fontId="6" fillId="6" borderId="0" xfId="2" applyNumberFormat="1" applyFont="1" applyFill="1" applyAlignment="1">
      <alignment horizontal="right"/>
    </xf>
    <xf numFmtId="0" fontId="6" fillId="6" borderId="0" xfId="0" applyFont="1" applyFill="1"/>
    <xf numFmtId="44" fontId="0" fillId="0" borderId="0" xfId="0" applyNumberFormat="1" applyAlignment="1">
      <alignment horizontal="center"/>
    </xf>
    <xf numFmtId="0" fontId="13" fillId="5" borderId="0" xfId="0" applyFont="1" applyFill="1" applyAlignment="1">
      <alignment horizontal="right"/>
    </xf>
    <xf numFmtId="0" fontId="0" fillId="7" borderId="0" xfId="0" applyFill="1"/>
    <xf numFmtId="0" fontId="6" fillId="7" borderId="4" xfId="0" applyFont="1" applyFill="1" applyBorder="1" applyAlignment="1">
      <alignment horizontal="center"/>
    </xf>
    <xf numFmtId="0" fontId="4" fillId="7" borderId="0" xfId="0" applyFont="1" applyFill="1"/>
    <xf numFmtId="0" fontId="14" fillId="7" borderId="0" xfId="0" applyFont="1" applyFill="1"/>
    <xf numFmtId="0" fontId="4" fillId="7" borderId="0" xfId="0" applyFont="1" applyFill="1" applyAlignment="1">
      <alignment horizontal="center"/>
    </xf>
    <xf numFmtId="44" fontId="4" fillId="7" borderId="0" xfId="1" applyFont="1" applyFill="1" applyAlignment="1">
      <alignment horizontal="center"/>
    </xf>
    <xf numFmtId="44" fontId="15" fillId="7" borderId="5" xfId="1" applyFont="1" applyFill="1" applyBorder="1"/>
    <xf numFmtId="44" fontId="16" fillId="0" borderId="0" xfId="0" applyNumberFormat="1" applyFont="1"/>
    <xf numFmtId="0" fontId="4" fillId="0" borderId="0" xfId="0" applyFont="1"/>
    <xf numFmtId="164" fontId="0" fillId="2" borderId="0" xfId="2" applyNumberFormat="1" applyFont="1" applyFill="1" applyAlignment="1">
      <alignment horizontal="center"/>
    </xf>
    <xf numFmtId="164" fontId="4" fillId="7" borderId="0" xfId="2" applyNumberFormat="1" applyFont="1" applyFill="1" applyAlignment="1">
      <alignment horizontal="center"/>
    </xf>
    <xf numFmtId="0" fontId="14" fillId="0" borderId="0" xfId="0" applyFont="1"/>
    <xf numFmtId="0" fontId="4" fillId="0" borderId="0" xfId="0" applyFont="1" applyAlignment="1">
      <alignment horizontal="center"/>
    </xf>
    <xf numFmtId="44" fontId="4" fillId="0" borderId="0" xfId="1" applyFont="1" applyAlignment="1">
      <alignment horizontal="center"/>
    </xf>
    <xf numFmtId="44" fontId="15" fillId="0" borderId="5" xfId="1" applyFont="1" applyBorder="1"/>
    <xf numFmtId="164" fontId="4" fillId="0" borderId="0" xfId="2" applyNumberFormat="1" applyFont="1" applyAlignment="1">
      <alignment horizontal="center"/>
    </xf>
    <xf numFmtId="0" fontId="0" fillId="8" borderId="0" xfId="0" applyFill="1"/>
    <xf numFmtId="0" fontId="12" fillId="8" borderId="0" xfId="0" applyFont="1" applyFill="1" applyAlignment="1">
      <alignment horizontal="left"/>
    </xf>
    <xf numFmtId="0" fontId="4" fillId="8" borderId="0" xfId="0" applyFont="1" applyFill="1"/>
    <xf numFmtId="0" fontId="14" fillId="8" borderId="0" xfId="0" applyFont="1" applyFill="1"/>
    <xf numFmtId="0" fontId="4" fillId="8" borderId="0" xfId="0" applyFont="1" applyFill="1" applyAlignment="1">
      <alignment horizontal="center"/>
    </xf>
    <xf numFmtId="44" fontId="4" fillId="8" borderId="0" xfId="1" applyFont="1" applyFill="1" applyAlignment="1">
      <alignment horizontal="center"/>
    </xf>
    <xf numFmtId="44" fontId="15" fillId="8" borderId="0" xfId="1" applyFont="1" applyFill="1"/>
    <xf numFmtId="0" fontId="6" fillId="8" borderId="0" xfId="0" applyFont="1" applyFill="1" applyAlignment="1">
      <alignment horizontal="center"/>
    </xf>
    <xf numFmtId="44" fontId="15" fillId="0" borderId="0" xfId="1" applyFont="1"/>
    <xf numFmtId="0" fontId="14" fillId="7" borderId="0" xfId="0" applyFont="1" applyFill="1" applyAlignment="1">
      <alignment horizontal="center"/>
    </xf>
    <xf numFmtId="44" fontId="15" fillId="7" borderId="0" xfId="1" applyFont="1" applyFill="1"/>
    <xf numFmtId="44" fontId="0" fillId="9" borderId="0" xfId="0" applyNumberFormat="1" applyFill="1" applyAlignment="1">
      <alignment horizontal="center"/>
    </xf>
    <xf numFmtId="0" fontId="4" fillId="9" borderId="0" xfId="0" applyFont="1" applyFill="1"/>
    <xf numFmtId="164" fontId="0" fillId="9" borderId="0" xfId="2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7" borderId="4" xfId="0" applyFill="1" applyBorder="1" applyAlignment="1">
      <alignment horizontal="center"/>
    </xf>
    <xf numFmtId="44" fontId="17" fillId="7" borderId="5" xfId="1" applyFont="1" applyFill="1" applyBorder="1"/>
    <xf numFmtId="0" fontId="14" fillId="10" borderId="4" xfId="0" applyFont="1" applyFill="1" applyBorder="1" applyAlignment="1">
      <alignment horizontal="center"/>
    </xf>
    <xf numFmtId="0" fontId="4" fillId="10" borderId="0" xfId="0" applyFont="1" applyFill="1"/>
    <xf numFmtId="0" fontId="4" fillId="10" borderId="0" xfId="0" applyFont="1" applyFill="1" applyAlignment="1">
      <alignment horizontal="center"/>
    </xf>
    <xf numFmtId="9" fontId="4" fillId="10" borderId="5" xfId="2" applyFont="1" applyFill="1" applyBorder="1"/>
    <xf numFmtId="164" fontId="4" fillId="10" borderId="0" xfId="2" applyNumberFormat="1" applyFont="1" applyFill="1" applyAlignment="1">
      <alignment horizontal="center"/>
    </xf>
    <xf numFmtId="0" fontId="11" fillId="11" borderId="4" xfId="0" applyFont="1" applyFill="1" applyBorder="1" applyAlignment="1">
      <alignment horizontal="center" vertical="center"/>
    </xf>
    <xf numFmtId="0" fontId="19" fillId="11" borderId="0" xfId="0" applyFont="1" applyFill="1" applyAlignment="1">
      <alignment vertical="center"/>
    </xf>
    <xf numFmtId="0" fontId="19" fillId="11" borderId="0" xfId="0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44" fontId="19" fillId="11" borderId="5" xfId="1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64" fontId="11" fillId="2" borderId="0" xfId="2" applyNumberFormat="1" applyFont="1" applyFill="1" applyAlignment="1">
      <alignment horizontal="center" vertical="center"/>
    </xf>
    <xf numFmtId="164" fontId="11" fillId="0" borderId="0" xfId="2" applyNumberFormat="1" applyFont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 applyAlignment="1">
      <alignment horizontal="center"/>
    </xf>
    <xf numFmtId="164" fontId="0" fillId="8" borderId="0" xfId="2" applyNumberFormat="1" applyFont="1" applyFill="1" applyAlignment="1">
      <alignment horizontal="center"/>
    </xf>
    <xf numFmtId="44" fontId="0" fillId="8" borderId="0" xfId="1" applyFont="1" applyFill="1"/>
    <xf numFmtId="0" fontId="6" fillId="12" borderId="4" xfId="0" applyFont="1" applyFill="1" applyBorder="1" applyAlignment="1">
      <alignment horizontal="center"/>
    </xf>
    <xf numFmtId="0" fontId="0" fillId="12" borderId="0" xfId="0" applyFill="1"/>
    <xf numFmtId="164" fontId="0" fillId="4" borderId="0" xfId="2" applyNumberFormat="1" applyFont="1" applyFill="1" applyAlignment="1">
      <alignment horizontal="right"/>
    </xf>
    <xf numFmtId="0" fontId="6" fillId="6" borderId="4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44" fontId="0" fillId="6" borderId="5" xfId="1" applyFont="1" applyFill="1" applyBorder="1"/>
    <xf numFmtId="0" fontId="14" fillId="13" borderId="4" xfId="0" applyFont="1" applyFill="1" applyBorder="1" applyAlignment="1">
      <alignment horizontal="center"/>
    </xf>
    <xf numFmtId="0" fontId="4" fillId="13" borderId="0" xfId="0" applyFont="1" applyFill="1"/>
    <xf numFmtId="0" fontId="14" fillId="13" borderId="0" xfId="0" applyFont="1" applyFill="1"/>
    <xf numFmtId="0" fontId="4" fillId="13" borderId="0" xfId="0" applyFont="1" applyFill="1" applyAlignment="1">
      <alignment horizontal="center"/>
    </xf>
    <xf numFmtId="44" fontId="4" fillId="13" borderId="5" xfId="1" applyFont="1" applyFill="1" applyBorder="1"/>
    <xf numFmtId="164" fontId="14" fillId="13" borderId="0" xfId="2" applyNumberFormat="1" applyFont="1" applyFill="1" applyAlignment="1">
      <alignment horizontal="right"/>
    </xf>
    <xf numFmtId="44" fontId="6" fillId="12" borderId="0" xfId="1" applyFont="1" applyFill="1" applyAlignment="1">
      <alignment horizontal="center"/>
    </xf>
    <xf numFmtId="44" fontId="0" fillId="12" borderId="0" xfId="1" applyFont="1" applyFill="1"/>
    <xf numFmtId="0" fontId="6" fillId="13" borderId="4" xfId="0" applyFont="1" applyFill="1" applyBorder="1" applyAlignment="1">
      <alignment horizontal="center"/>
    </xf>
    <xf numFmtId="164" fontId="4" fillId="13" borderId="0" xfId="2" applyNumberFormat="1" applyFont="1" applyFill="1" applyAlignment="1">
      <alignment horizontal="center"/>
    </xf>
    <xf numFmtId="167" fontId="0" fillId="0" borderId="0" xfId="0" applyNumberFormat="1"/>
    <xf numFmtId="0" fontId="4" fillId="14" borderId="0" xfId="0" applyFont="1" applyFill="1"/>
    <xf numFmtId="0" fontId="14" fillId="14" borderId="0" xfId="0" applyFont="1" applyFill="1"/>
    <xf numFmtId="0" fontId="14" fillId="14" borderId="0" xfId="0" applyFont="1" applyFill="1" applyAlignment="1">
      <alignment horizontal="center"/>
    </xf>
    <xf numFmtId="164" fontId="14" fillId="14" borderId="7" xfId="2" applyNumberFormat="1" applyFont="1" applyFill="1" applyBorder="1" applyAlignment="1">
      <alignment horizontal="right"/>
    </xf>
    <xf numFmtId="44" fontId="14" fillId="14" borderId="5" xfId="1" applyFont="1" applyFill="1" applyBorder="1"/>
    <xf numFmtId="164" fontId="14" fillId="2" borderId="0" xfId="2" applyNumberFormat="1" applyFont="1" applyFill="1" applyAlignment="1">
      <alignment horizontal="right"/>
    </xf>
    <xf numFmtId="164" fontId="14" fillId="0" borderId="0" xfId="2" applyNumberFormat="1" applyFont="1" applyAlignment="1">
      <alignment horizontal="right"/>
    </xf>
    <xf numFmtId="164" fontId="14" fillId="14" borderId="0" xfId="2" applyNumberFormat="1" applyFont="1" applyFill="1" applyAlignment="1">
      <alignment horizontal="right"/>
    </xf>
    <xf numFmtId="0" fontId="4" fillId="14" borderId="0" xfId="0" applyFont="1" applyFill="1" applyAlignment="1">
      <alignment horizontal="center"/>
    </xf>
    <xf numFmtId="164" fontId="4" fillId="14" borderId="0" xfId="2" applyNumberFormat="1" applyFont="1" applyFill="1" applyAlignment="1">
      <alignment horizontal="center"/>
    </xf>
    <xf numFmtId="44" fontId="4" fillId="14" borderId="5" xfId="1" applyFont="1" applyFill="1" applyBorder="1"/>
    <xf numFmtId="0" fontId="6" fillId="15" borderId="4" xfId="0" applyFont="1" applyFill="1" applyBorder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164" fontId="0" fillId="15" borderId="0" xfId="2" applyNumberFormat="1" applyFont="1" applyFill="1" applyAlignment="1">
      <alignment horizontal="center"/>
    </xf>
    <xf numFmtId="44" fontId="0" fillId="15" borderId="5" xfId="1" applyFont="1" applyFill="1" applyBorder="1"/>
    <xf numFmtId="0" fontId="3" fillId="15" borderId="0" xfId="0" applyFont="1" applyFill="1"/>
    <xf numFmtId="0" fontId="9" fillId="15" borderId="0" xfId="0" applyFont="1" applyFill="1" applyAlignment="1">
      <alignment horizontal="right"/>
    </xf>
    <xf numFmtId="164" fontId="9" fillId="15" borderId="0" xfId="2" applyNumberFormat="1" applyFont="1" applyFill="1" applyAlignment="1">
      <alignment horizontal="center"/>
    </xf>
    <xf numFmtId="44" fontId="3" fillId="15" borderId="5" xfId="1" applyFont="1" applyFill="1" applyBorder="1"/>
    <xf numFmtId="0" fontId="9" fillId="0" borderId="0" xfId="0" applyFont="1" applyAlignment="1">
      <alignment horizontal="left"/>
    </xf>
    <xf numFmtId="164" fontId="9" fillId="2" borderId="0" xfId="2" applyNumberFormat="1" applyFont="1" applyFill="1" applyAlignment="1">
      <alignment horizontal="center"/>
    </xf>
    <xf numFmtId="164" fontId="9" fillId="0" borderId="0" xfId="2" applyNumberFormat="1" applyFont="1" applyAlignment="1">
      <alignment horizontal="center"/>
    </xf>
    <xf numFmtId="164" fontId="14" fillId="13" borderId="0" xfId="2" applyNumberFormat="1" applyFont="1" applyFill="1" applyAlignment="1">
      <alignment horizontal="center"/>
    </xf>
    <xf numFmtId="164" fontId="4" fillId="2" borderId="0" xfId="2" applyNumberFormat="1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44" fontId="3" fillId="0" borderId="5" xfId="1" applyFont="1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164" fontId="3" fillId="4" borderId="0" xfId="2" applyNumberFormat="1" applyFont="1" applyFill="1" applyAlignment="1">
      <alignment horizontal="center"/>
    </xf>
    <xf numFmtId="4" fontId="20" fillId="4" borderId="5" xfId="0" applyNumberFormat="1" applyFont="1" applyFill="1" applyBorder="1"/>
    <xf numFmtId="44" fontId="0" fillId="0" borderId="0" xfId="0" applyNumberFormat="1"/>
    <xf numFmtId="4" fontId="21" fillId="13" borderId="5" xfId="0" applyNumberFormat="1" applyFont="1" applyFill="1" applyBorder="1"/>
    <xf numFmtId="4" fontId="10" fillId="4" borderId="5" xfId="0" applyNumberFormat="1" applyFont="1" applyFill="1" applyBorder="1"/>
    <xf numFmtId="0" fontId="3" fillId="0" borderId="0" xfId="0" applyFont="1" applyAlignment="1">
      <alignment horizontal="center"/>
    </xf>
    <xf numFmtId="164" fontId="3" fillId="0" borderId="0" xfId="2" applyNumberFormat="1" applyFont="1" applyAlignment="1">
      <alignment horizontal="center"/>
    </xf>
    <xf numFmtId="0" fontId="6" fillId="16" borderId="4" xfId="0" applyFont="1" applyFill="1" applyBorder="1" applyAlignment="1">
      <alignment horizontal="center"/>
    </xf>
    <xf numFmtId="0" fontId="2" fillId="16" borderId="0" xfId="0" applyFont="1" applyFill="1"/>
    <xf numFmtId="0" fontId="22" fillId="16" borderId="0" xfId="0" applyFont="1" applyFill="1"/>
    <xf numFmtId="0" fontId="2" fillId="16" borderId="0" xfId="0" applyFont="1" applyFill="1" applyAlignment="1">
      <alignment horizontal="center"/>
    </xf>
    <xf numFmtId="164" fontId="4" fillId="16" borderId="0" xfId="2" applyNumberFormat="1" applyFont="1" applyFill="1" applyAlignment="1">
      <alignment horizontal="center"/>
    </xf>
    <xf numFmtId="44" fontId="2" fillId="16" borderId="5" xfId="1" applyFont="1" applyFill="1" applyBorder="1"/>
    <xf numFmtId="164" fontId="14" fillId="17" borderId="4" xfId="0" applyNumberFormat="1" applyFont="1" applyFill="1" applyBorder="1" applyAlignment="1">
      <alignment horizontal="center"/>
    </xf>
    <xf numFmtId="0" fontId="4" fillId="17" borderId="0" xfId="0" applyFont="1" applyFill="1"/>
    <xf numFmtId="0" fontId="14" fillId="17" borderId="0" xfId="0" applyFont="1" applyFill="1"/>
    <xf numFmtId="0" fontId="4" fillId="17" borderId="0" xfId="0" applyFont="1" applyFill="1" applyAlignment="1">
      <alignment horizontal="center"/>
    </xf>
    <xf numFmtId="164" fontId="4" fillId="17" borderId="0" xfId="2" applyNumberFormat="1" applyFont="1" applyFill="1" applyAlignment="1">
      <alignment horizontal="center"/>
    </xf>
    <xf numFmtId="44" fontId="4" fillId="17" borderId="5" xfId="1" applyFont="1" applyFill="1" applyBorder="1"/>
    <xf numFmtId="0" fontId="6" fillId="18" borderId="4" xfId="0" applyFont="1" applyFill="1" applyBorder="1" applyAlignment="1">
      <alignment horizontal="center"/>
    </xf>
    <xf numFmtId="0" fontId="0" fillId="18" borderId="0" xfId="0" applyFill="1"/>
    <xf numFmtId="0" fontId="6" fillId="18" borderId="0" xfId="0" applyFont="1" applyFill="1"/>
    <xf numFmtId="0" fontId="0" fillId="18" borderId="0" xfId="0" applyFill="1" applyAlignment="1">
      <alignment horizontal="center"/>
    </xf>
    <xf numFmtId="164" fontId="0" fillId="18" borderId="0" xfId="2" applyNumberFormat="1" applyFont="1" applyFill="1" applyAlignment="1">
      <alignment horizontal="center"/>
    </xf>
    <xf numFmtId="44" fontId="0" fillId="18" borderId="5" xfId="1" applyFont="1" applyFill="1" applyBorder="1"/>
    <xf numFmtId="10" fontId="6" fillId="18" borderId="0" xfId="2" applyNumberFormat="1" applyFont="1" applyFill="1" applyAlignment="1">
      <alignment horizontal="center"/>
    </xf>
    <xf numFmtId="164" fontId="6" fillId="18" borderId="0" xfId="2" applyNumberFormat="1" applyFont="1" applyFill="1" applyAlignment="1">
      <alignment horizontal="center"/>
    </xf>
    <xf numFmtId="10" fontId="6" fillId="0" borderId="0" xfId="2" applyNumberFormat="1" applyFont="1" applyAlignment="1">
      <alignment horizontal="center"/>
    </xf>
    <xf numFmtId="0" fontId="6" fillId="18" borderId="0" xfId="2" applyNumberFormat="1" applyFont="1" applyFill="1" applyAlignment="1">
      <alignment horizontal="center"/>
    </xf>
    <xf numFmtId="0" fontId="12" fillId="19" borderId="4" xfId="0" applyFont="1" applyFill="1" applyBorder="1" applyAlignment="1">
      <alignment horizontal="center"/>
    </xf>
    <xf numFmtId="0" fontId="11" fillId="19" borderId="0" xfId="0" applyFont="1" applyFill="1"/>
    <xf numFmtId="0" fontId="11" fillId="19" borderId="0" xfId="0" applyFont="1" applyFill="1" applyAlignment="1">
      <alignment horizontal="center"/>
    </xf>
    <xf numFmtId="164" fontId="23" fillId="20" borderId="7" xfId="0" applyNumberFormat="1" applyFont="1" applyFill="1" applyBorder="1" applyAlignment="1">
      <alignment horizontal="right"/>
    </xf>
    <xf numFmtId="44" fontId="11" fillId="19" borderId="5" xfId="1" applyFont="1" applyFill="1" applyBorder="1"/>
    <xf numFmtId="164" fontId="23" fillId="2" borderId="0" xfId="0" applyNumberFormat="1" applyFont="1" applyFill="1" applyAlignment="1">
      <alignment horizontal="right"/>
    </xf>
    <xf numFmtId="164" fontId="23" fillId="0" borderId="0" xfId="0" applyNumberFormat="1" applyFont="1" applyAlignment="1">
      <alignment horizontal="right"/>
    </xf>
    <xf numFmtId="0" fontId="18" fillId="0" borderId="0" xfId="0" applyFont="1" applyAlignment="1">
      <alignment vertical="center" textRotation="90"/>
    </xf>
    <xf numFmtId="0" fontId="6" fillId="21" borderId="4" xfId="0" applyFont="1" applyFill="1" applyBorder="1" applyAlignment="1">
      <alignment horizontal="center"/>
    </xf>
    <xf numFmtId="0" fontId="19" fillId="0" borderId="0" xfId="0" applyFont="1"/>
    <xf numFmtId="0" fontId="19" fillId="2" borderId="0" xfId="0" applyFont="1" applyFill="1"/>
    <xf numFmtId="164" fontId="14" fillId="21" borderId="4" xfId="2" applyNumberFormat="1" applyFont="1" applyFill="1" applyBorder="1" applyAlignment="1">
      <alignment horizontal="center"/>
    </xf>
    <xf numFmtId="0" fontId="4" fillId="21" borderId="0" xfId="0" applyFont="1" applyFill="1"/>
    <xf numFmtId="164" fontId="14" fillId="21" borderId="0" xfId="2" applyNumberFormat="1" applyFont="1" applyFill="1"/>
    <xf numFmtId="44" fontId="4" fillId="21" borderId="0" xfId="0" applyNumberFormat="1" applyFont="1" applyFill="1"/>
    <xf numFmtId="44" fontId="4" fillId="21" borderId="5" xfId="1" applyFont="1" applyFill="1" applyBorder="1"/>
    <xf numFmtId="0" fontId="14" fillId="21" borderId="0" xfId="0" applyFont="1" applyFill="1"/>
    <xf numFmtId="49" fontId="6" fillId="2" borderId="0" xfId="2" applyNumberFormat="1" applyFont="1" applyFill="1" applyAlignment="1">
      <alignment horizontal="left"/>
    </xf>
    <xf numFmtId="49" fontId="6" fillId="0" borderId="0" xfId="2" applyNumberFormat="1" applyFont="1" applyAlignment="1">
      <alignment horizontal="left"/>
    </xf>
    <xf numFmtId="164" fontId="4" fillId="21" borderId="0" xfId="2" applyNumberFormat="1" applyFont="1" applyFill="1" applyAlignment="1">
      <alignment horizontal="center"/>
    </xf>
    <xf numFmtId="44" fontId="14" fillId="21" borderId="0" xfId="1" applyFont="1" applyFill="1" applyAlignment="1">
      <alignment horizontal="center"/>
    </xf>
    <xf numFmtId="44" fontId="0" fillId="21" borderId="5" xfId="1" applyFont="1" applyFill="1" applyBorder="1"/>
    <xf numFmtId="0" fontId="14" fillId="10" borderId="6" xfId="0" applyFont="1" applyFill="1" applyBorder="1" applyAlignment="1">
      <alignment horizontal="center"/>
    </xf>
    <xf numFmtId="0" fontId="4" fillId="10" borderId="7" xfId="0" applyFont="1" applyFill="1" applyBorder="1"/>
    <xf numFmtId="0" fontId="4" fillId="10" borderId="7" xfId="0" applyFont="1" applyFill="1" applyBorder="1" applyAlignment="1">
      <alignment horizontal="center"/>
    </xf>
    <xf numFmtId="164" fontId="4" fillId="22" borderId="7" xfId="0" applyNumberFormat="1" applyFont="1" applyFill="1" applyBorder="1" applyAlignment="1">
      <alignment horizontal="right"/>
    </xf>
    <xf numFmtId="44" fontId="4" fillId="10" borderId="8" xfId="1" applyFont="1" applyFill="1" applyBorder="1"/>
    <xf numFmtId="164" fontId="4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4" fontId="7" fillId="0" borderId="0" xfId="2" applyNumberFormat="1" applyFont="1" applyAlignment="1">
      <alignment horizontal="right"/>
    </xf>
    <xf numFmtId="44" fontId="11" fillId="0" borderId="0" xfId="1" applyFont="1"/>
    <xf numFmtId="164" fontId="7" fillId="2" borderId="0" xfId="2" applyNumberFormat="1" applyFont="1" applyFill="1" applyAlignment="1">
      <alignment horizontal="right"/>
    </xf>
    <xf numFmtId="167" fontId="6" fillId="0" borderId="0" xfId="0" applyNumberFormat="1" applyFont="1"/>
    <xf numFmtId="164" fontId="6" fillId="0" borderId="0" xfId="2" applyNumberFormat="1" applyFont="1" applyAlignment="1">
      <alignment horizontal="center"/>
    </xf>
    <xf numFmtId="44" fontId="6" fillId="0" borderId="0" xfId="1" applyFont="1"/>
    <xf numFmtId="10" fontId="12" fillId="18" borderId="0" xfId="2" applyNumberFormat="1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3" borderId="1" xfId="0" applyFill="1" applyBorder="1" applyAlignment="1">
      <alignment horizontal="center" vertical="center" textRotation="90"/>
    </xf>
    <xf numFmtId="0" fontId="0" fillId="3" borderId="4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 textRotation="90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0" fontId="6" fillId="5" borderId="0" xfId="2" applyNumberFormat="1" applyFont="1" applyFill="1" applyAlignment="1">
      <alignment horizontal="center"/>
    </xf>
    <xf numFmtId="166" fontId="6" fillId="5" borderId="0" xfId="2" applyNumberFormat="1" applyFont="1" applyFill="1" applyAlignment="1">
      <alignment horizontal="center"/>
    </xf>
    <xf numFmtId="10" fontId="6" fillId="5" borderId="7" xfId="2" applyNumberFormat="1" applyFont="1" applyFill="1" applyBorder="1" applyAlignment="1">
      <alignment horizontal="center"/>
    </xf>
    <xf numFmtId="0" fontId="7" fillId="9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 textRotation="90" wrapText="1"/>
    </xf>
    <xf numFmtId="0" fontId="18" fillId="0" borderId="4" xfId="0" applyFont="1" applyBorder="1" applyAlignment="1">
      <alignment horizontal="center" vertical="center" textRotation="90" wrapText="1"/>
    </xf>
    <xf numFmtId="0" fontId="18" fillId="0" borderId="6" xfId="0" applyFont="1" applyBorder="1" applyAlignment="1">
      <alignment horizontal="center" vertical="center" textRotation="90" wrapText="1"/>
    </xf>
    <xf numFmtId="0" fontId="19" fillId="21" borderId="0" xfId="0" applyFont="1" applyFill="1" applyAlignment="1">
      <alignment horizontal="center"/>
    </xf>
    <xf numFmtId="0" fontId="19" fillId="21" borderId="5" xfId="0" applyFont="1" applyFill="1" applyBorder="1" applyAlignment="1">
      <alignment horizontal="center"/>
    </xf>
    <xf numFmtId="167" fontId="11" fillId="0" borderId="0" xfId="0" applyNumberFormat="1" applyFont="1" applyAlignment="1">
      <alignment horizontal="center"/>
    </xf>
    <xf numFmtId="10" fontId="14" fillId="21" borderId="0" xfId="2" applyNumberFormat="1" applyFont="1" applyFill="1" applyAlignment="1">
      <alignment horizontal="center"/>
    </xf>
    <xf numFmtId="0" fontId="0" fillId="0" borderId="0" xfId="0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0" fillId="0" borderId="0" xfId="0" applyFill="1" applyBorder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44" fontId="0" fillId="0" borderId="0" xfId="1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44" fontId="4" fillId="0" borderId="0" xfId="1" applyFont="1" applyFill="1" applyBorder="1" applyAlignment="1">
      <alignment horizontal="center"/>
    </xf>
    <xf numFmtId="44" fontId="17" fillId="0" borderId="0" xfId="1" applyFont="1" applyFill="1" applyBorder="1"/>
    <xf numFmtId="44" fontId="0" fillId="0" borderId="0" xfId="0" applyNumberForma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Fill="1" applyBorder="1"/>
    <xf numFmtId="9" fontId="4" fillId="0" borderId="0" xfId="2" applyFont="1" applyFill="1" applyBorder="1"/>
    <xf numFmtId="164" fontId="4" fillId="0" borderId="0" xfId="2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center" vertical="center"/>
    </xf>
    <xf numFmtId="164" fontId="19" fillId="0" borderId="0" xfId="2" applyNumberFormat="1" applyFont="1" applyFill="1" applyBorder="1" applyAlignment="1">
      <alignment horizontal="center" vertical="center"/>
    </xf>
    <xf numFmtId="44" fontId="19" fillId="0" borderId="0" xfId="1" applyFont="1" applyFill="1" applyBorder="1" applyAlignment="1">
      <alignment vertical="center"/>
    </xf>
    <xf numFmtId="164" fontId="0" fillId="0" borderId="0" xfId="2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right"/>
    </xf>
    <xf numFmtId="44" fontId="14" fillId="0" borderId="0" xfId="1" applyFont="1" applyFill="1" applyBorder="1" applyAlignment="1">
      <alignment horizontal="right"/>
    </xf>
    <xf numFmtId="44" fontId="4" fillId="0" borderId="0" xfId="1" applyFont="1" applyFill="1" applyBorder="1"/>
    <xf numFmtId="164" fontId="14" fillId="0" borderId="0" xfId="2" applyNumberFormat="1" applyFont="1" applyFill="1" applyBorder="1" applyAlignment="1">
      <alignment horizontal="right"/>
    </xf>
    <xf numFmtId="44" fontId="6" fillId="0" borderId="0" xfId="1" applyFont="1" applyFill="1" applyBorder="1"/>
    <xf numFmtId="0" fontId="6" fillId="0" borderId="0" xfId="0" applyFont="1" applyFill="1" applyBorder="1" applyAlignment="1">
      <alignment horizontal="right"/>
    </xf>
    <xf numFmtId="44" fontId="6" fillId="0" borderId="0" xfId="1" applyFont="1" applyFill="1" applyBorder="1" applyAlignment="1">
      <alignment horizontal="center"/>
    </xf>
    <xf numFmtId="44" fontId="6" fillId="0" borderId="0" xfId="1" applyFont="1" applyFill="1" applyBorder="1" applyAlignment="1">
      <alignment horizontal="right"/>
    </xf>
    <xf numFmtId="44" fontId="6" fillId="0" borderId="0" xfId="0" applyNumberFormat="1" applyFont="1" applyFill="1" applyBorder="1"/>
    <xf numFmtId="10" fontId="6" fillId="0" borderId="0" xfId="2" applyNumberFormat="1" applyFont="1" applyFill="1" applyBorder="1"/>
    <xf numFmtId="10" fontId="6" fillId="0" borderId="0" xfId="2" applyNumberFormat="1" applyFont="1" applyFill="1" applyBorder="1" applyAlignment="1">
      <alignment horizontal="center"/>
    </xf>
    <xf numFmtId="44" fontId="14" fillId="0" borderId="0" xfId="1" applyFont="1" applyFill="1" applyBorder="1"/>
    <xf numFmtId="0" fontId="6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Border="1"/>
    <xf numFmtId="0" fontId="9" fillId="0" borderId="0" xfId="0" applyFont="1" applyFill="1" applyBorder="1" applyAlignment="1">
      <alignment horizontal="right"/>
    </xf>
    <xf numFmtId="164" fontId="9" fillId="0" borderId="0" xfId="2" applyNumberFormat="1" applyFont="1" applyFill="1" applyBorder="1" applyAlignment="1">
      <alignment horizontal="center"/>
    </xf>
    <xf numFmtId="44" fontId="3" fillId="0" borderId="0" xfId="1" applyFont="1" applyFill="1" applyBorder="1"/>
    <xf numFmtId="0" fontId="9" fillId="0" borderId="0" xfId="0" applyFont="1" applyFill="1" applyBorder="1" applyAlignment="1">
      <alignment horizontal="left"/>
    </xf>
    <xf numFmtId="164" fontId="14" fillId="0" borderId="0" xfId="2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7" fontId="3" fillId="0" borderId="0" xfId="1" applyNumberFormat="1" applyFont="1" applyFill="1" applyBorder="1"/>
    <xf numFmtId="164" fontId="3" fillId="0" borderId="0" xfId="2" applyNumberFormat="1" applyFont="1" applyFill="1" applyBorder="1" applyAlignment="1">
      <alignment horizontal="center"/>
    </xf>
    <xf numFmtId="4" fontId="20" fillId="0" borderId="0" xfId="0" applyNumberFormat="1" applyFont="1" applyFill="1" applyBorder="1"/>
    <xf numFmtId="4" fontId="21" fillId="0" borderId="0" xfId="0" applyNumberFormat="1" applyFont="1" applyFill="1" applyBorder="1"/>
    <xf numFmtId="4" fontId="10" fillId="0" borderId="0" xfId="0" applyNumberFormat="1" applyFont="1" applyFill="1" applyBorder="1"/>
    <xf numFmtId="0" fontId="2" fillId="0" borderId="0" xfId="0" applyFont="1" applyFill="1" applyBorder="1"/>
    <xf numFmtId="0" fontId="22" fillId="0" borderId="0" xfId="0" applyFont="1" applyFill="1" applyBorder="1"/>
    <xf numFmtId="0" fontId="2" fillId="0" borderId="0" xfId="0" applyFont="1" applyFill="1" applyBorder="1" applyAlignment="1">
      <alignment horizontal="center"/>
    </xf>
    <xf numFmtId="44" fontId="2" fillId="0" borderId="0" xfId="1" applyFont="1" applyFill="1" applyBorder="1"/>
    <xf numFmtId="164" fontId="14" fillId="0" borderId="0" xfId="0" applyNumberFormat="1" applyFont="1" applyFill="1" applyBorder="1" applyAlignment="1">
      <alignment horizontal="center"/>
    </xf>
    <xf numFmtId="164" fontId="6" fillId="0" borderId="0" xfId="2" applyNumberFormat="1" applyFont="1" applyFill="1" applyBorder="1" applyAlignment="1">
      <alignment horizontal="center"/>
    </xf>
    <xf numFmtId="0" fontId="6" fillId="0" borderId="0" xfId="2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12" fillId="0" borderId="0" xfId="0" applyFont="1" applyFill="1" applyBorder="1"/>
    <xf numFmtId="0" fontId="11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right"/>
    </xf>
    <xf numFmtId="44" fontId="11" fillId="0" borderId="0" xfId="1" applyFont="1" applyFill="1" applyBorder="1"/>
    <xf numFmtId="0" fontId="18" fillId="0" borderId="0" xfId="0" applyFont="1" applyFill="1" applyBorder="1" applyAlignment="1">
      <alignment vertical="center" textRotation="90"/>
    </xf>
    <xf numFmtId="0" fontId="19" fillId="0" borderId="0" xfId="0" applyFont="1" applyFill="1" applyBorder="1"/>
    <xf numFmtId="44" fontId="14" fillId="0" borderId="0" xfId="0" applyNumberFormat="1" applyFont="1" applyFill="1" applyBorder="1"/>
    <xf numFmtId="164" fontId="14" fillId="0" borderId="0" xfId="2" applyNumberFormat="1" applyFont="1" applyFill="1" applyBorder="1"/>
    <xf numFmtId="44" fontId="4" fillId="0" borderId="0" xfId="0" applyNumberFormat="1" applyFont="1" applyFill="1" applyBorder="1"/>
    <xf numFmtId="44" fontId="6" fillId="0" borderId="0" xfId="1" applyFont="1" applyFill="1" applyBorder="1" applyAlignment="1">
      <alignment horizontal="left"/>
    </xf>
    <xf numFmtId="166" fontId="6" fillId="0" borderId="0" xfId="2" applyNumberFormat="1" applyFont="1" applyFill="1" applyBorder="1" applyAlignment="1">
      <alignment horizontal="left"/>
    </xf>
    <xf numFmtId="44" fontId="14" fillId="0" borderId="0" xfId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right"/>
    </xf>
    <xf numFmtId="164" fontId="6" fillId="0" borderId="0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164" fontId="7" fillId="0" borderId="0" xfId="2" applyNumberFormat="1" applyFont="1" applyFill="1" applyBorder="1" applyAlignment="1">
      <alignment horizontal="right"/>
    </xf>
    <xf numFmtId="167" fontId="6" fillId="0" borderId="0" xfId="0" applyNumberFormat="1" applyFont="1" applyFill="1" applyBorder="1"/>
    <xf numFmtId="10" fontId="12" fillId="0" borderId="0" xfId="2" applyNumberFormat="1" applyFont="1" applyFill="1" applyBorder="1" applyAlignment="1">
      <alignment horizontal="center"/>
    </xf>
    <xf numFmtId="167" fontId="11" fillId="0" borderId="0" xfId="0" applyNumberFormat="1" applyFont="1" applyFill="1" applyBorder="1" applyAlignment="1"/>
    <xf numFmtId="10" fontId="14" fillId="0" borderId="0" xfId="2" applyNumberFormat="1" applyFont="1" applyFill="1" applyBorder="1" applyAlignment="1"/>
    <xf numFmtId="0" fontId="19" fillId="0" borderId="0" xfId="0" applyFont="1" applyFill="1" applyBorder="1" applyAlignment="1"/>
    <xf numFmtId="0" fontId="18" fillId="0" borderId="0" xfId="0" applyFont="1" applyFill="1" applyBorder="1" applyAlignment="1">
      <alignment vertical="center" textRotation="90" wrapText="1"/>
    </xf>
    <xf numFmtId="10" fontId="6" fillId="0" borderId="0" xfId="2" applyNumberFormat="1" applyFont="1" applyFill="1" applyBorder="1" applyAlignment="1"/>
    <xf numFmtId="166" fontId="6" fillId="0" borderId="0" xfId="2" applyNumberFormat="1" applyFont="1" applyFill="1" applyBorder="1" applyAlignme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E16A-F612-42B8-BBD8-4D70D89D84E5}">
  <dimension ref="A2:AS158"/>
  <sheetViews>
    <sheetView tabSelected="1" topLeftCell="AD132" workbookViewId="0">
      <selection activeCell="AO125" sqref="AO125:AO130"/>
    </sheetView>
  </sheetViews>
  <sheetFormatPr defaultRowHeight="14.4" x14ac:dyDescent="0.3"/>
  <cols>
    <col min="3" max="3" width="9.33203125" style="2" customWidth="1"/>
    <col min="4" max="4" width="27.109375" bestFit="1" customWidth="1"/>
    <col min="5" max="5" width="16.44140625" style="3" customWidth="1"/>
    <col min="6" max="6" width="6.44140625" customWidth="1"/>
    <col min="7" max="7" width="6.44140625" style="20" customWidth="1"/>
    <col min="8" max="8" width="14.6640625" style="40" customWidth="1"/>
    <col min="9" max="9" width="22" style="29" customWidth="1"/>
    <col min="10" max="10" width="8.5546875" style="20" customWidth="1"/>
    <col min="11" max="11" width="19.33203125" style="20" customWidth="1"/>
    <col min="13" max="13" width="9.33203125" style="2" customWidth="1"/>
    <col min="14" max="14" width="27.109375" bestFit="1" customWidth="1"/>
    <col min="15" max="15" width="14.44140625" style="3" customWidth="1"/>
    <col min="16" max="16" width="11" customWidth="1"/>
    <col min="17" max="17" width="11" style="20" customWidth="1"/>
    <col min="18" max="18" width="11" style="40" customWidth="1"/>
    <col min="19" max="19" width="19.21875" style="29" customWidth="1"/>
    <col min="20" max="20" width="8.5546875" style="20" customWidth="1"/>
    <col min="21" max="21" width="19.33203125" style="20" customWidth="1"/>
    <col min="23" max="23" width="9.33203125" style="2" customWidth="1"/>
    <col min="24" max="24" width="27.109375" bestFit="1" customWidth="1"/>
    <col min="25" max="25" width="14.44140625" style="3" customWidth="1"/>
    <col min="26" max="26" width="11" customWidth="1"/>
    <col min="27" max="27" width="11" style="20" customWidth="1"/>
    <col min="28" max="28" width="11" style="40" customWidth="1"/>
    <col min="29" max="29" width="19.21875" style="29" customWidth="1"/>
    <col min="30" max="30" width="8.5546875" style="20" customWidth="1"/>
    <col min="31" max="31" width="19.33203125" style="20" customWidth="1"/>
    <col min="32" max="32" width="5" style="28" customWidth="1"/>
    <col min="33" max="33" width="5" style="29" customWidth="1"/>
    <col min="34" max="34" width="12.21875" style="29" customWidth="1"/>
    <col min="35" max="35" width="9.33203125" style="8" customWidth="1"/>
    <col min="36" max="36" width="18.21875" style="29" customWidth="1"/>
    <col min="37" max="40" width="11" style="29" customWidth="1"/>
    <col min="41" max="41" width="19.21875" style="29" customWidth="1"/>
    <col min="42" max="42" width="10.88671875" style="3" customWidth="1"/>
    <col min="45" max="45" width="14" bestFit="1" customWidth="1"/>
  </cols>
  <sheetData>
    <row r="2" spans="2:42" s="1" customFormat="1" ht="23.4" x14ac:dyDescent="0.45">
      <c r="C2" s="2"/>
      <c r="D2" s="1" t="s">
        <v>0</v>
      </c>
      <c r="E2" s="3"/>
      <c r="G2" s="4"/>
      <c r="H2" s="5"/>
      <c r="I2" s="6"/>
      <c r="J2" s="4"/>
      <c r="K2" s="4"/>
      <c r="M2" s="2"/>
      <c r="N2" s="1" t="s">
        <v>0</v>
      </c>
      <c r="O2" s="3"/>
      <c r="Q2" s="4"/>
      <c r="R2" s="5"/>
      <c r="S2" s="6"/>
      <c r="T2" s="4"/>
      <c r="U2" s="4"/>
      <c r="W2" s="2"/>
      <c r="X2" s="1" t="s">
        <v>0</v>
      </c>
      <c r="Y2" s="3"/>
      <c r="AA2" s="4"/>
      <c r="AB2" s="5"/>
      <c r="AC2" s="6"/>
      <c r="AD2" s="4"/>
      <c r="AE2" s="4"/>
      <c r="AF2" s="7"/>
      <c r="AG2" s="6"/>
      <c r="AH2" s="6"/>
      <c r="AI2" s="8"/>
      <c r="AJ2" s="6"/>
      <c r="AK2" s="6"/>
      <c r="AL2" s="6"/>
      <c r="AM2" s="6"/>
      <c r="AN2" s="6"/>
      <c r="AO2" s="6"/>
      <c r="AP2" s="3"/>
    </row>
    <row r="4" spans="2:42" s="9" customFormat="1" ht="18" x14ac:dyDescent="0.35">
      <c r="C4" s="293" t="s">
        <v>1</v>
      </c>
      <c r="D4" s="294"/>
      <c r="E4" s="294"/>
      <c r="F4" s="294"/>
      <c r="G4" s="294"/>
      <c r="H4" s="294"/>
      <c r="I4" s="295"/>
      <c r="J4" s="10"/>
      <c r="K4" s="11"/>
      <c r="M4" s="293" t="s">
        <v>2</v>
      </c>
      <c r="N4" s="294"/>
      <c r="O4" s="294"/>
      <c r="P4" s="294"/>
      <c r="Q4" s="294"/>
      <c r="R4" s="294"/>
      <c r="S4" s="295"/>
      <c r="T4" s="10"/>
      <c r="U4" s="11"/>
      <c r="W4" s="293" t="s">
        <v>3</v>
      </c>
      <c r="X4" s="294"/>
      <c r="Y4" s="294"/>
      <c r="Z4" s="294"/>
      <c r="AA4" s="294"/>
      <c r="AB4" s="294"/>
      <c r="AC4" s="295"/>
      <c r="AD4" s="10"/>
      <c r="AE4" s="11"/>
      <c r="AF4" s="12"/>
      <c r="AG4" s="13"/>
      <c r="AI4" s="293" t="s">
        <v>4</v>
      </c>
      <c r="AJ4" s="294"/>
      <c r="AK4" s="294"/>
      <c r="AL4" s="294"/>
      <c r="AM4" s="294"/>
      <c r="AN4" s="294"/>
      <c r="AO4" s="295"/>
      <c r="AP4" s="10"/>
    </row>
    <row r="5" spans="2:42" ht="14.4" customHeight="1" x14ac:dyDescent="0.3">
      <c r="B5" s="296" t="s">
        <v>5</v>
      </c>
      <c r="C5" s="14"/>
      <c r="D5" s="15" t="s">
        <v>6</v>
      </c>
      <c r="E5" s="16"/>
      <c r="F5" s="15"/>
      <c r="G5" s="17"/>
      <c r="H5" s="18"/>
      <c r="I5" s="19">
        <v>6753.75</v>
      </c>
      <c r="K5"/>
      <c r="L5" s="296" t="s">
        <v>5</v>
      </c>
      <c r="M5" s="14"/>
      <c r="N5" s="15" t="s">
        <v>6</v>
      </c>
      <c r="O5" s="16"/>
      <c r="P5" s="15"/>
      <c r="Q5" s="17"/>
      <c r="R5" s="18"/>
      <c r="S5" s="19">
        <v>0</v>
      </c>
      <c r="U5"/>
      <c r="V5" s="296" t="s">
        <v>5</v>
      </c>
      <c r="W5" s="14"/>
      <c r="X5" s="15" t="s">
        <v>6</v>
      </c>
      <c r="Y5" s="16"/>
      <c r="Z5" s="15"/>
      <c r="AA5" s="17"/>
      <c r="AB5" s="18"/>
      <c r="AC5" s="19">
        <v>0</v>
      </c>
      <c r="AE5"/>
      <c r="AF5" s="21"/>
      <c r="AG5" s="20"/>
      <c r="AH5" s="296" t="s">
        <v>5</v>
      </c>
      <c r="AI5" s="14"/>
      <c r="AJ5" s="15" t="s">
        <v>6</v>
      </c>
      <c r="AK5" s="15"/>
      <c r="AL5" s="15"/>
      <c r="AM5" s="17"/>
      <c r="AN5" s="18"/>
      <c r="AO5" s="19">
        <f>SUM(I5,S5,AC5)</f>
        <v>6753.75</v>
      </c>
      <c r="AP5" s="20"/>
    </row>
    <row r="6" spans="2:42" x14ac:dyDescent="0.3">
      <c r="B6" s="297"/>
      <c r="C6" s="22"/>
      <c r="D6" s="23"/>
      <c r="E6" s="24"/>
      <c r="F6" s="23"/>
      <c r="G6" s="25"/>
      <c r="H6" s="26"/>
      <c r="I6" s="27"/>
      <c r="L6" s="297"/>
      <c r="M6" s="22"/>
      <c r="N6" s="23"/>
      <c r="O6" s="24"/>
      <c r="P6" s="23"/>
      <c r="Q6" s="25"/>
      <c r="R6" s="26"/>
      <c r="S6" s="27"/>
      <c r="V6" s="297"/>
      <c r="W6" s="22"/>
      <c r="X6" s="23"/>
      <c r="Y6" s="24"/>
      <c r="Z6" s="23"/>
      <c r="AA6" s="25"/>
      <c r="AB6" s="26"/>
      <c r="AC6" s="27"/>
      <c r="AH6" s="297"/>
      <c r="AI6" s="22"/>
      <c r="AJ6" s="23"/>
      <c r="AK6" s="23"/>
      <c r="AL6" s="23"/>
      <c r="AM6" s="25"/>
      <c r="AN6" s="26"/>
      <c r="AO6" s="27"/>
      <c r="AP6" s="20"/>
    </row>
    <row r="7" spans="2:42" x14ac:dyDescent="0.3">
      <c r="B7" s="297"/>
      <c r="C7" s="30">
        <v>9.4700000000000006E-2</v>
      </c>
      <c r="D7" s="31" t="s">
        <v>7</v>
      </c>
      <c r="E7" s="32"/>
      <c r="F7" s="31"/>
      <c r="G7" s="33"/>
      <c r="H7" s="34"/>
      <c r="I7" s="35">
        <f>I24*C7</f>
        <v>1781.0641186299083</v>
      </c>
      <c r="K7" s="36"/>
      <c r="L7" s="297"/>
      <c r="M7" s="30">
        <v>9.4200000000000006E-2</v>
      </c>
      <c r="N7" s="31" t="s">
        <v>7</v>
      </c>
      <c r="O7" s="32"/>
      <c r="P7" s="31"/>
      <c r="Q7" s="33"/>
      <c r="R7" s="34"/>
      <c r="S7" s="35">
        <f>S24*M7</f>
        <v>0</v>
      </c>
      <c r="U7" s="36"/>
      <c r="V7" s="297"/>
      <c r="W7" s="30">
        <v>9.4200000000000006E-2</v>
      </c>
      <c r="X7" s="31" t="s">
        <v>7</v>
      </c>
      <c r="Y7" s="32"/>
      <c r="Z7" s="31"/>
      <c r="AA7" s="33"/>
      <c r="AB7" s="34"/>
      <c r="AC7" s="35">
        <f>AC24*W7</f>
        <v>0</v>
      </c>
      <c r="AE7" s="36"/>
      <c r="AF7" s="37"/>
      <c r="AG7" s="38"/>
      <c r="AH7" s="297"/>
      <c r="AI7" s="30">
        <f>AO7/$AO$24</f>
        <v>9.4700000000000006E-2</v>
      </c>
      <c r="AJ7" s="31" t="s">
        <v>7</v>
      </c>
      <c r="AK7" s="31"/>
      <c r="AL7" s="31"/>
      <c r="AM7" s="33"/>
      <c r="AN7" s="34"/>
      <c r="AO7" s="35">
        <f>SUM(S7,I7,AC7)</f>
        <v>1781.0641186299083</v>
      </c>
      <c r="AP7" s="20"/>
    </row>
    <row r="8" spans="2:42" x14ac:dyDescent="0.3">
      <c r="B8" s="297"/>
      <c r="C8" s="30">
        <v>0.10390000000000001</v>
      </c>
      <c r="D8" s="31" t="s">
        <v>8</v>
      </c>
      <c r="E8" s="32"/>
      <c r="F8" s="31"/>
      <c r="G8" s="33"/>
      <c r="H8" s="34"/>
      <c r="I8" s="35">
        <f>I24*C8</f>
        <v>1954.0925229741022</v>
      </c>
      <c r="K8" s="36"/>
      <c r="L8" s="297"/>
      <c r="M8" s="30">
        <v>0.10340000000000001</v>
      </c>
      <c r="N8" s="31" t="s">
        <v>8</v>
      </c>
      <c r="O8" s="32"/>
      <c r="P8" s="31"/>
      <c r="Q8" s="33"/>
      <c r="R8" s="34"/>
      <c r="S8" s="35">
        <f>S24*M8</f>
        <v>0</v>
      </c>
      <c r="U8" s="36"/>
      <c r="V8" s="297"/>
      <c r="W8" s="30">
        <v>0.10340000000000001</v>
      </c>
      <c r="X8" s="31" t="s">
        <v>8</v>
      </c>
      <c r="Y8" s="32"/>
      <c r="Z8" s="31"/>
      <c r="AA8" s="33"/>
      <c r="AB8" s="34"/>
      <c r="AC8" s="35">
        <f>AC24*W8</f>
        <v>0</v>
      </c>
      <c r="AE8" s="36"/>
      <c r="AF8" s="37"/>
      <c r="AG8" s="38"/>
      <c r="AH8" s="297"/>
      <c r="AI8" s="30">
        <f>AO8/$AO$24</f>
        <v>0.10390000000000001</v>
      </c>
      <c r="AJ8" s="31" t="s">
        <v>8</v>
      </c>
      <c r="AK8" s="31"/>
      <c r="AL8" s="31"/>
      <c r="AM8" s="33"/>
      <c r="AN8" s="34"/>
      <c r="AO8" s="35">
        <f>SUM(S8,I8,AC8)</f>
        <v>1954.0925229741022</v>
      </c>
      <c r="AP8" s="20"/>
    </row>
    <row r="9" spans="2:42" x14ac:dyDescent="0.3">
      <c r="B9" s="297"/>
      <c r="C9" s="30">
        <v>6.4100000000000004E-2</v>
      </c>
      <c r="D9" s="31" t="s">
        <v>9</v>
      </c>
      <c r="E9" s="32"/>
      <c r="F9" s="31"/>
      <c r="G9" s="33"/>
      <c r="H9" s="34"/>
      <c r="I9" s="35">
        <f>I24*C9</f>
        <v>1205.5565998329157</v>
      </c>
      <c r="K9" s="36"/>
      <c r="L9" s="297"/>
      <c r="M9" s="30">
        <v>6.3700000000000007E-2</v>
      </c>
      <c r="N9" s="31" t="s">
        <v>9</v>
      </c>
      <c r="O9" s="32"/>
      <c r="P9" s="31"/>
      <c r="Q9" s="33"/>
      <c r="R9" s="34"/>
      <c r="S9" s="35">
        <f>S24*M9</f>
        <v>0</v>
      </c>
      <c r="U9" s="36"/>
      <c r="V9" s="297"/>
      <c r="W9" s="30">
        <v>6.3700000000000007E-2</v>
      </c>
      <c r="X9" s="31" t="s">
        <v>9</v>
      </c>
      <c r="Y9" s="32"/>
      <c r="Z9" s="31"/>
      <c r="AA9" s="33"/>
      <c r="AB9" s="34"/>
      <c r="AC9" s="35">
        <f>AC24*W9</f>
        <v>0</v>
      </c>
      <c r="AE9" s="36"/>
      <c r="AF9" s="37"/>
      <c r="AG9" s="38"/>
      <c r="AH9" s="297"/>
      <c r="AI9" s="30">
        <f>AO9/$AO$24</f>
        <v>6.4100000000000004E-2</v>
      </c>
      <c r="AJ9" s="31" t="s">
        <v>9</v>
      </c>
      <c r="AK9" s="31"/>
      <c r="AL9" s="31"/>
      <c r="AM9" s="33"/>
      <c r="AN9" s="34"/>
      <c r="AO9" s="35">
        <f>SUM(S9,I9,AC9)</f>
        <v>1205.5565998329157</v>
      </c>
      <c r="AP9" s="20"/>
    </row>
    <row r="10" spans="2:42" x14ac:dyDescent="0.3">
      <c r="B10" s="297"/>
      <c r="C10" s="30">
        <v>4.1999999999999997E-3</v>
      </c>
      <c r="D10" s="31" t="s">
        <v>10</v>
      </c>
      <c r="E10" s="32"/>
      <c r="F10" s="31"/>
      <c r="G10" s="33"/>
      <c r="H10" s="34"/>
      <c r="I10" s="35">
        <f>I24*C10</f>
        <v>78.991228070175438</v>
      </c>
      <c r="K10" s="36"/>
      <c r="L10" s="297"/>
      <c r="M10" s="30">
        <v>4.1000000000000003E-3</v>
      </c>
      <c r="N10" s="31" t="s">
        <v>10</v>
      </c>
      <c r="O10" s="32"/>
      <c r="P10" s="31"/>
      <c r="Q10" s="33"/>
      <c r="R10" s="34"/>
      <c r="S10" s="35">
        <f>S24*M10</f>
        <v>0</v>
      </c>
      <c r="U10" s="36"/>
      <c r="V10" s="297"/>
      <c r="W10" s="30">
        <v>4.1000000000000003E-3</v>
      </c>
      <c r="X10" s="31" t="s">
        <v>10</v>
      </c>
      <c r="Y10" s="32"/>
      <c r="Z10" s="31"/>
      <c r="AA10" s="33"/>
      <c r="AB10" s="34"/>
      <c r="AC10" s="35">
        <f>AC24*W10</f>
        <v>0</v>
      </c>
      <c r="AE10" s="36"/>
      <c r="AF10" s="37"/>
      <c r="AG10" s="38"/>
      <c r="AH10" s="297"/>
      <c r="AI10" s="30">
        <f>AO10/$AO$24</f>
        <v>4.1999999999999997E-3</v>
      </c>
      <c r="AJ10" s="31" t="s">
        <v>10</v>
      </c>
      <c r="AK10" s="31"/>
      <c r="AL10" s="31"/>
      <c r="AM10" s="33"/>
      <c r="AN10" s="34"/>
      <c r="AO10" s="35">
        <f>SUM(S10,I10,AC10)</f>
        <v>78.991228070175438</v>
      </c>
      <c r="AP10" s="20"/>
    </row>
    <row r="11" spans="2:42" x14ac:dyDescent="0.3">
      <c r="B11" s="297"/>
      <c r="C11" s="30"/>
      <c r="D11" s="23"/>
      <c r="E11" s="24"/>
      <c r="F11" s="23"/>
      <c r="G11" s="25"/>
      <c r="H11" s="26"/>
      <c r="I11" s="27"/>
      <c r="K11"/>
      <c r="L11" s="297"/>
      <c r="M11" s="30"/>
      <c r="N11" s="23"/>
      <c r="O11" s="24"/>
      <c r="P11" s="23"/>
      <c r="Q11" s="25"/>
      <c r="R11" s="26"/>
      <c r="S11" s="27"/>
      <c r="U11"/>
      <c r="V11" s="297"/>
      <c r="W11" s="30"/>
      <c r="X11" s="23"/>
      <c r="Y11" s="24"/>
      <c r="Z11" s="23"/>
      <c r="AA11" s="25"/>
      <c r="AB11" s="26"/>
      <c r="AC11" s="27"/>
      <c r="AE11"/>
      <c r="AH11" s="297"/>
      <c r="AI11" s="30">
        <f>AO11/$AO$24</f>
        <v>0</v>
      </c>
      <c r="AJ11" s="23"/>
      <c r="AK11" s="23"/>
      <c r="AL11" s="23"/>
      <c r="AM11" s="25"/>
      <c r="AN11" s="26"/>
      <c r="AO11" s="27"/>
      <c r="AP11" s="20"/>
    </row>
    <row r="12" spans="2:42" x14ac:dyDescent="0.3">
      <c r="B12" s="297"/>
      <c r="C12" s="30">
        <v>0.03</v>
      </c>
      <c r="D12" s="23" t="s">
        <v>11</v>
      </c>
      <c r="E12" s="24"/>
      <c r="F12" s="23"/>
      <c r="G12" s="25"/>
      <c r="H12" s="26"/>
      <c r="I12" s="27">
        <f>I24*C12</f>
        <v>564.22305764411033</v>
      </c>
      <c r="K12"/>
      <c r="L12" s="297"/>
      <c r="M12" s="30">
        <v>0</v>
      </c>
      <c r="N12" s="23" t="s">
        <v>11</v>
      </c>
      <c r="O12" s="24"/>
      <c r="P12" s="23"/>
      <c r="Q12" s="25"/>
      <c r="R12" s="26"/>
      <c r="S12" s="27">
        <f>S24*M12</f>
        <v>0</v>
      </c>
      <c r="U12"/>
      <c r="V12" s="297"/>
      <c r="W12" s="30">
        <v>0</v>
      </c>
      <c r="X12" s="23" t="s">
        <v>11</v>
      </c>
      <c r="Y12" s="24"/>
      <c r="Z12" s="23"/>
      <c r="AA12" s="25"/>
      <c r="AB12" s="26"/>
      <c r="AC12" s="27">
        <f>AC24*W12</f>
        <v>0</v>
      </c>
      <c r="AE12"/>
      <c r="AH12" s="297"/>
      <c r="AI12" s="30">
        <v>0.03</v>
      </c>
      <c r="AJ12" s="23" t="s">
        <v>11</v>
      </c>
      <c r="AK12" s="24"/>
      <c r="AL12" s="23"/>
      <c r="AM12" s="25"/>
      <c r="AN12" s="26"/>
      <c r="AO12" s="27">
        <f t="shared" ref="AO12:AO20" si="0">SUM(S12,I12,AC12)</f>
        <v>564.22305764411033</v>
      </c>
      <c r="AP12" s="20"/>
    </row>
    <row r="13" spans="2:42" x14ac:dyDescent="0.3">
      <c r="B13" s="297"/>
      <c r="C13" s="30">
        <v>0.05</v>
      </c>
      <c r="D13" s="23" t="s">
        <v>12</v>
      </c>
      <c r="E13" s="24"/>
      <c r="F13" s="23"/>
      <c r="G13" s="25"/>
      <c r="H13" s="26"/>
      <c r="I13" s="27">
        <f>$I$24*C13</f>
        <v>940.37176274018384</v>
      </c>
      <c r="K13"/>
      <c r="L13" s="297"/>
      <c r="M13" s="30">
        <v>0.06</v>
      </c>
      <c r="N13" s="23" t="s">
        <v>12</v>
      </c>
      <c r="O13" s="24"/>
      <c r="P13" s="23"/>
      <c r="Q13" s="25"/>
      <c r="R13" s="26"/>
      <c r="S13" s="27">
        <f>$S$24*M13</f>
        <v>0</v>
      </c>
      <c r="U13"/>
      <c r="V13" s="297"/>
      <c r="W13" s="30">
        <v>3.5000000000000003E-2</v>
      </c>
      <c r="X13" s="23" t="s">
        <v>12</v>
      </c>
      <c r="Y13" s="24"/>
      <c r="Z13" s="23"/>
      <c r="AA13" s="25"/>
      <c r="AB13" s="26"/>
      <c r="AC13" s="27">
        <f>$AC$24*W13</f>
        <v>0</v>
      </c>
      <c r="AE13"/>
      <c r="AH13" s="297"/>
      <c r="AI13" s="30">
        <f t="shared" ref="AI13:AI20" si="1">AO13/$AO$24</f>
        <v>0.05</v>
      </c>
      <c r="AJ13" s="23" t="s">
        <v>12</v>
      </c>
      <c r="AK13" s="23"/>
      <c r="AL13" s="23"/>
      <c r="AM13" s="25"/>
      <c r="AN13" s="26"/>
      <c r="AO13" s="27">
        <f t="shared" si="0"/>
        <v>940.37176274018384</v>
      </c>
      <c r="AP13" s="20"/>
    </row>
    <row r="14" spans="2:42" x14ac:dyDescent="0.3">
      <c r="B14" s="297"/>
      <c r="C14" s="30">
        <v>0.1</v>
      </c>
      <c r="D14" s="23" t="s">
        <v>13</v>
      </c>
      <c r="E14" s="24"/>
      <c r="F14" s="23"/>
      <c r="G14" s="25"/>
      <c r="H14" s="26"/>
      <c r="I14" s="27">
        <f>$I$24*C14</f>
        <v>1880.7435254803677</v>
      </c>
      <c r="K14"/>
      <c r="L14" s="297"/>
      <c r="M14" s="30">
        <v>0.1</v>
      </c>
      <c r="N14" s="23" t="s">
        <v>13</v>
      </c>
      <c r="O14" s="24"/>
      <c r="P14" s="23"/>
      <c r="Q14" s="25"/>
      <c r="R14" s="26"/>
      <c r="S14" s="27">
        <f t="shared" ref="S14:S16" si="2">$S$24*M14</f>
        <v>0</v>
      </c>
      <c r="U14"/>
      <c r="V14" s="297"/>
      <c r="W14" s="30">
        <v>0.1</v>
      </c>
      <c r="X14" s="23" t="s">
        <v>13</v>
      </c>
      <c r="Y14" s="24"/>
      <c r="Z14" s="23"/>
      <c r="AA14" s="25"/>
      <c r="AB14" s="26"/>
      <c r="AC14" s="27">
        <f t="shared" ref="AC14:AC16" si="3">$AC$24*W14</f>
        <v>0</v>
      </c>
      <c r="AE14"/>
      <c r="AH14" s="297"/>
      <c r="AI14" s="30">
        <f t="shared" si="1"/>
        <v>0.1</v>
      </c>
      <c r="AJ14" s="23" t="s">
        <v>13</v>
      </c>
      <c r="AK14" s="23"/>
      <c r="AL14" s="23"/>
      <c r="AM14" s="25"/>
      <c r="AN14" s="26"/>
      <c r="AO14" s="27">
        <f t="shared" si="0"/>
        <v>1880.7435254803677</v>
      </c>
      <c r="AP14" s="20"/>
    </row>
    <row r="15" spans="2:42" x14ac:dyDescent="0.3">
      <c r="B15" s="297"/>
      <c r="C15" s="30">
        <v>1.4999999999999999E-2</v>
      </c>
      <c r="D15" s="23" t="s">
        <v>14</v>
      </c>
      <c r="E15" s="24"/>
      <c r="F15" s="23"/>
      <c r="G15" s="25"/>
      <c r="H15" s="26"/>
      <c r="I15" s="27">
        <f>$I$24*C15</f>
        <v>282.11152882205516</v>
      </c>
      <c r="K15"/>
      <c r="L15" s="297"/>
      <c r="M15" s="30">
        <v>1.4999999999999999E-2</v>
      </c>
      <c r="N15" s="23" t="s">
        <v>14</v>
      </c>
      <c r="O15" s="24"/>
      <c r="P15" s="23"/>
      <c r="Q15" s="25"/>
      <c r="R15" s="26"/>
      <c r="S15" s="27">
        <f t="shared" si="2"/>
        <v>0</v>
      </c>
      <c r="U15"/>
      <c r="V15" s="297"/>
      <c r="W15" s="30">
        <v>1.4999999999999999E-2</v>
      </c>
      <c r="X15" s="23" t="s">
        <v>14</v>
      </c>
      <c r="Y15" s="24"/>
      <c r="Z15" s="23"/>
      <c r="AA15" s="25"/>
      <c r="AB15" s="26"/>
      <c r="AC15" s="27">
        <f t="shared" si="3"/>
        <v>0</v>
      </c>
      <c r="AE15"/>
      <c r="AH15" s="297"/>
      <c r="AI15" s="30">
        <f t="shared" si="1"/>
        <v>1.5000000000000001E-2</v>
      </c>
      <c r="AJ15" s="23" t="s">
        <v>14</v>
      </c>
      <c r="AK15" s="23"/>
      <c r="AL15" s="23"/>
      <c r="AM15" s="25"/>
      <c r="AN15" s="26"/>
      <c r="AO15" s="27">
        <f t="shared" si="0"/>
        <v>282.11152882205516</v>
      </c>
      <c r="AP15" s="20"/>
    </row>
    <row r="16" spans="2:42" x14ac:dyDescent="0.3">
      <c r="B16" s="297"/>
      <c r="C16" s="30">
        <v>8.9999999999999993E-3</v>
      </c>
      <c r="D16" s="23" t="s">
        <v>15</v>
      </c>
      <c r="E16" s="24"/>
      <c r="F16" s="23"/>
      <c r="G16" s="25"/>
      <c r="H16" s="26"/>
      <c r="I16" s="27">
        <f>$I$24*C16</f>
        <v>169.26691729323309</v>
      </c>
      <c r="K16"/>
      <c r="L16" s="297"/>
      <c r="M16" s="30">
        <v>8.9999999999999993E-3</v>
      </c>
      <c r="N16" s="23" t="s">
        <v>15</v>
      </c>
      <c r="O16" s="24"/>
      <c r="P16" s="23"/>
      <c r="Q16" s="25"/>
      <c r="R16" s="26"/>
      <c r="S16" s="27">
        <f t="shared" si="2"/>
        <v>0</v>
      </c>
      <c r="U16"/>
      <c r="V16" s="297"/>
      <c r="W16" s="30">
        <v>8.9999999999999993E-3</v>
      </c>
      <c r="X16" s="23" t="s">
        <v>15</v>
      </c>
      <c r="Y16" s="24"/>
      <c r="Z16" s="23"/>
      <c r="AA16" s="25"/>
      <c r="AB16" s="26"/>
      <c r="AC16" s="27">
        <f t="shared" si="3"/>
        <v>0</v>
      </c>
      <c r="AE16"/>
      <c r="AH16" s="297"/>
      <c r="AI16" s="30">
        <f t="shared" si="1"/>
        <v>8.9999999999999993E-3</v>
      </c>
      <c r="AJ16" s="23" t="s">
        <v>15</v>
      </c>
      <c r="AK16" s="23"/>
      <c r="AL16" s="23"/>
      <c r="AM16" s="25"/>
      <c r="AN16" s="26"/>
      <c r="AO16" s="27">
        <f t="shared" si="0"/>
        <v>169.26691729323309</v>
      </c>
      <c r="AP16" s="20"/>
    </row>
    <row r="17" spans="2:45" x14ac:dyDescent="0.3">
      <c r="B17" s="297"/>
      <c r="C17" s="30"/>
      <c r="D17" s="23"/>
      <c r="E17" s="24"/>
      <c r="F17" s="23"/>
      <c r="G17" s="25"/>
      <c r="H17" s="26"/>
      <c r="I17" s="27"/>
      <c r="K17"/>
      <c r="L17" s="297"/>
      <c r="M17" s="30"/>
      <c r="N17" s="23"/>
      <c r="O17" s="24"/>
      <c r="P17" s="23"/>
      <c r="Q17" s="25"/>
      <c r="R17" s="26"/>
      <c r="S17" s="27"/>
      <c r="U17"/>
      <c r="V17" s="297"/>
      <c r="W17" s="30"/>
      <c r="X17" s="23"/>
      <c r="Y17" s="24"/>
      <c r="Z17" s="23"/>
      <c r="AA17" s="25"/>
      <c r="AB17" s="26"/>
      <c r="AC17" s="27"/>
      <c r="AE17"/>
      <c r="AH17" s="297"/>
      <c r="AI17" s="30">
        <f t="shared" si="1"/>
        <v>0</v>
      </c>
      <c r="AJ17" s="23"/>
      <c r="AK17" s="23"/>
      <c r="AL17" s="23"/>
      <c r="AM17" s="25"/>
      <c r="AN17" s="26"/>
      <c r="AO17" s="27">
        <f t="shared" si="0"/>
        <v>0</v>
      </c>
      <c r="AP17" s="20"/>
    </row>
    <row r="18" spans="2:45" x14ac:dyDescent="0.3">
      <c r="B18" s="297"/>
      <c r="C18" s="30">
        <v>0.17</v>
      </c>
      <c r="D18" s="31" t="s">
        <v>16</v>
      </c>
      <c r="E18" s="32"/>
      <c r="F18" s="23"/>
      <c r="G18" s="25"/>
      <c r="H18" s="26"/>
      <c r="I18" s="27">
        <f>I24*C18</f>
        <v>3197.2639933166251</v>
      </c>
      <c r="K18" s="36"/>
      <c r="L18" s="297"/>
      <c r="M18" s="30">
        <v>0.1</v>
      </c>
      <c r="N18" s="31" t="s">
        <v>16</v>
      </c>
      <c r="O18" s="32"/>
      <c r="P18" s="23"/>
      <c r="Q18" s="25"/>
      <c r="R18" s="26"/>
      <c r="S18" s="27">
        <f>S24*M18</f>
        <v>0</v>
      </c>
      <c r="U18" s="36"/>
      <c r="V18" s="297"/>
      <c r="W18" s="30">
        <v>0.1</v>
      </c>
      <c r="X18" s="31" t="s">
        <v>16</v>
      </c>
      <c r="Y18" s="32"/>
      <c r="Z18" s="23"/>
      <c r="AA18" s="25"/>
      <c r="AB18" s="26"/>
      <c r="AC18" s="27">
        <f>AC24*W18</f>
        <v>0</v>
      </c>
      <c r="AE18" s="36"/>
      <c r="AH18" s="297"/>
      <c r="AI18" s="30">
        <f t="shared" si="1"/>
        <v>0.17</v>
      </c>
      <c r="AJ18" s="31" t="s">
        <v>16</v>
      </c>
      <c r="AK18" s="23"/>
      <c r="AL18" s="23"/>
      <c r="AM18" s="25"/>
      <c r="AN18" s="26"/>
      <c r="AO18" s="27">
        <f t="shared" si="0"/>
        <v>3197.2639933166251</v>
      </c>
      <c r="AP18" s="20"/>
    </row>
    <row r="19" spans="2:45" x14ac:dyDescent="0.3">
      <c r="B19" s="297"/>
      <c r="C19" s="30">
        <v>0</v>
      </c>
      <c r="D19" s="31" t="s">
        <v>17</v>
      </c>
      <c r="E19" s="32"/>
      <c r="F19" s="23"/>
      <c r="G19" s="25"/>
      <c r="H19" s="26"/>
      <c r="I19" s="27">
        <f>I24*C19</f>
        <v>0</v>
      </c>
      <c r="K19" s="36"/>
      <c r="L19" s="297"/>
      <c r="M19" s="30">
        <v>0</v>
      </c>
      <c r="N19" s="31" t="s">
        <v>17</v>
      </c>
      <c r="O19" s="32"/>
      <c r="P19" s="23"/>
      <c r="Q19" s="25"/>
      <c r="R19" s="26"/>
      <c r="S19" s="27">
        <f>S24*M19</f>
        <v>0</v>
      </c>
      <c r="U19" s="36"/>
      <c r="V19" s="297"/>
      <c r="W19" s="30">
        <v>0</v>
      </c>
      <c r="X19" s="31" t="s">
        <v>17</v>
      </c>
      <c r="Y19" s="32"/>
      <c r="Z19" s="23"/>
      <c r="AA19" s="25"/>
      <c r="AB19" s="26"/>
      <c r="AC19" s="27">
        <f>AC24*W19</f>
        <v>0</v>
      </c>
      <c r="AE19" s="36"/>
      <c r="AH19" s="297"/>
      <c r="AI19" s="30">
        <f t="shared" si="1"/>
        <v>0</v>
      </c>
      <c r="AJ19" s="31" t="s">
        <v>17</v>
      </c>
      <c r="AK19" s="23"/>
      <c r="AL19" s="23"/>
      <c r="AM19" s="25"/>
      <c r="AN19" s="26"/>
      <c r="AO19" s="27">
        <f t="shared" si="0"/>
        <v>0</v>
      </c>
      <c r="AP19" s="20"/>
    </row>
    <row r="20" spans="2:45" x14ac:dyDescent="0.3">
      <c r="B20" s="297"/>
      <c r="C20" s="30">
        <v>0</v>
      </c>
      <c r="D20" s="31" t="s">
        <v>18</v>
      </c>
      <c r="E20" s="32"/>
      <c r="F20" s="23"/>
      <c r="G20" s="25"/>
      <c r="H20" s="26"/>
      <c r="I20" s="27">
        <f>I24*C20</f>
        <v>0</v>
      </c>
      <c r="K20" s="36"/>
      <c r="L20" s="297"/>
      <c r="M20" s="30">
        <v>4.3249999999999997E-2</v>
      </c>
      <c r="N20" s="31" t="s">
        <v>18</v>
      </c>
      <c r="O20" s="32"/>
      <c r="P20" s="23"/>
      <c r="Q20" s="25"/>
      <c r="R20" s="26"/>
      <c r="S20" s="27">
        <f>S24*M20</f>
        <v>0</v>
      </c>
      <c r="U20" s="36"/>
      <c r="V20" s="297"/>
      <c r="W20" s="30">
        <v>4.3249999999999997E-2</v>
      </c>
      <c r="X20" s="31" t="s">
        <v>18</v>
      </c>
      <c r="Y20" s="32"/>
      <c r="Z20" s="23"/>
      <c r="AA20" s="25"/>
      <c r="AB20" s="26"/>
      <c r="AC20" s="27">
        <f>AC24*W20</f>
        <v>0</v>
      </c>
      <c r="AE20" s="36"/>
      <c r="AH20" s="297"/>
      <c r="AI20" s="30">
        <f t="shared" si="1"/>
        <v>0</v>
      </c>
      <c r="AJ20" s="31" t="s">
        <v>18</v>
      </c>
      <c r="AK20" s="23"/>
      <c r="AL20" s="23"/>
      <c r="AM20" s="25"/>
      <c r="AN20" s="26"/>
      <c r="AO20" s="27">
        <f t="shared" si="0"/>
        <v>0</v>
      </c>
      <c r="AP20" s="20"/>
    </row>
    <row r="21" spans="2:45" x14ac:dyDescent="0.3">
      <c r="B21" s="297"/>
      <c r="C21" s="39"/>
      <c r="I21" s="41"/>
      <c r="L21" s="297"/>
      <c r="M21" s="39"/>
      <c r="S21" s="41"/>
      <c r="V21" s="297"/>
      <c r="W21" s="39"/>
      <c r="AC21" s="41"/>
      <c r="AH21" s="297"/>
      <c r="AI21" s="39"/>
      <c r="AJ21"/>
      <c r="AK21"/>
      <c r="AL21"/>
      <c r="AM21" s="20"/>
      <c r="AN21" s="40"/>
      <c r="AO21" s="41"/>
      <c r="AP21" s="20"/>
    </row>
    <row r="22" spans="2:45" x14ac:dyDescent="0.3">
      <c r="B22" s="297"/>
      <c r="C22" s="42">
        <f>SUM(C7:C20)</f>
        <v>0.64090000000000003</v>
      </c>
      <c r="D22" s="43" t="s">
        <v>19</v>
      </c>
      <c r="E22" s="24"/>
      <c r="F22" s="24"/>
      <c r="G22" s="25"/>
      <c r="H22" s="26"/>
      <c r="I22" s="27"/>
      <c r="K22"/>
      <c r="L22" s="297"/>
      <c r="M22" s="42">
        <f>SUM(M7:M20)</f>
        <v>0.59265000000000001</v>
      </c>
      <c r="N22" s="43" t="s">
        <v>19</v>
      </c>
      <c r="O22" s="24"/>
      <c r="P22" s="24"/>
      <c r="Q22" s="25"/>
      <c r="R22" s="26"/>
      <c r="S22" s="27"/>
      <c r="U22"/>
      <c r="V22" s="297"/>
      <c r="W22" s="42">
        <f>SUM(W7:W20)</f>
        <v>0.56764999999999999</v>
      </c>
      <c r="X22" s="43" t="s">
        <v>19</v>
      </c>
      <c r="Y22" s="24"/>
      <c r="Z22" s="24"/>
      <c r="AA22" s="25"/>
      <c r="AB22" s="26"/>
      <c r="AC22" s="27"/>
      <c r="AE22"/>
      <c r="AH22" s="297"/>
      <c r="AI22" s="44">
        <f>SUM(AI7:AI20)</f>
        <v>0.64090000000000003</v>
      </c>
      <c r="AJ22" s="24" t="s">
        <v>20</v>
      </c>
      <c r="AK22" s="24"/>
      <c r="AL22" s="24"/>
      <c r="AM22" s="45"/>
      <c r="AN22" s="46">
        <f>1-AI22</f>
        <v>0.35909999999999997</v>
      </c>
      <c r="AO22" s="27"/>
      <c r="AP22" s="20"/>
    </row>
    <row r="23" spans="2:45" x14ac:dyDescent="0.3">
      <c r="B23" s="297"/>
      <c r="C23" s="46">
        <f>1-C22</f>
        <v>0.35909999999999997</v>
      </c>
      <c r="D23" s="47" t="s">
        <v>21</v>
      </c>
      <c r="E23" s="47"/>
      <c r="F23" s="23"/>
      <c r="G23" s="25"/>
      <c r="H23" s="26"/>
      <c r="I23" s="27"/>
      <c r="L23" s="297"/>
      <c r="M23" s="46">
        <f>1-M22</f>
        <v>0.40734999999999999</v>
      </c>
      <c r="N23" s="47" t="s">
        <v>21</v>
      </c>
      <c r="O23" s="47"/>
      <c r="P23" s="23"/>
      <c r="Q23" s="25"/>
      <c r="R23" s="26"/>
      <c r="S23" s="27"/>
      <c r="V23" s="297"/>
      <c r="W23" s="46">
        <f>1-W22</f>
        <v>0.43235000000000001</v>
      </c>
      <c r="X23" s="47" t="s">
        <v>21</v>
      </c>
      <c r="Y23" s="47"/>
      <c r="Z23" s="23"/>
      <c r="AA23" s="25"/>
      <c r="AB23" s="26"/>
      <c r="AC23" s="27"/>
      <c r="AH23" s="297"/>
      <c r="AI23" s="22"/>
      <c r="AJ23" s="23"/>
      <c r="AK23" s="23"/>
      <c r="AL23" s="23"/>
      <c r="AM23" s="25"/>
      <c r="AN23" s="26"/>
      <c r="AO23" s="27"/>
      <c r="AP23" s="20"/>
      <c r="AS23" s="48"/>
    </row>
    <row r="24" spans="2:45" x14ac:dyDescent="0.3">
      <c r="B24" s="298"/>
      <c r="C24" s="49"/>
      <c r="D24" s="50"/>
      <c r="E24" s="43"/>
      <c r="F24" s="50"/>
      <c r="G24" s="51"/>
      <c r="H24" s="52" t="s">
        <v>22</v>
      </c>
      <c r="I24" s="53">
        <f>I5/C23</f>
        <v>18807.435254803677</v>
      </c>
      <c r="J24" s="54">
        <f>I24/I34</f>
        <v>0.88842422608218763</v>
      </c>
      <c r="K24" s="55"/>
      <c r="L24" s="298"/>
      <c r="M24" s="49"/>
      <c r="N24" s="50"/>
      <c r="O24" s="43"/>
      <c r="P24" s="50"/>
      <c r="Q24" s="51"/>
      <c r="R24" s="52" t="s">
        <v>22</v>
      </c>
      <c r="S24" s="53">
        <f>S5/M23</f>
        <v>0</v>
      </c>
      <c r="T24" s="54" t="e">
        <f>S24/S34</f>
        <v>#DIV/0!</v>
      </c>
      <c r="U24" s="55"/>
      <c r="V24" s="298"/>
      <c r="W24" s="49"/>
      <c r="X24" s="50"/>
      <c r="Y24" s="43"/>
      <c r="Z24" s="50"/>
      <c r="AA24" s="51"/>
      <c r="AB24" s="52" t="s">
        <v>22</v>
      </c>
      <c r="AC24" s="53">
        <f>AC5/W23</f>
        <v>0</v>
      </c>
      <c r="AD24" s="54" t="e">
        <f>AC24/AC34</f>
        <v>#DIV/0!</v>
      </c>
      <c r="AE24" s="55"/>
      <c r="AF24" s="56"/>
      <c r="AG24" s="57"/>
      <c r="AH24" s="298"/>
      <c r="AI24" s="49"/>
      <c r="AJ24" s="50"/>
      <c r="AK24" s="50"/>
      <c r="AL24" s="50"/>
      <c r="AM24" s="51"/>
      <c r="AN24" s="52" t="s">
        <v>22</v>
      </c>
      <c r="AO24" s="53">
        <f>SUM(AO5:AO20)</f>
        <v>18807.435254803677</v>
      </c>
      <c r="AP24" s="54">
        <f>AO24/AO34</f>
        <v>0.88842422608218763</v>
      </c>
      <c r="AQ24" s="3" t="s">
        <v>23</v>
      </c>
    </row>
    <row r="25" spans="2:45" x14ac:dyDescent="0.3">
      <c r="C25" s="58"/>
      <c r="I25" s="41"/>
      <c r="J25" s="59"/>
      <c r="K25" s="59"/>
      <c r="M25" s="58"/>
      <c r="S25" s="41"/>
      <c r="T25" s="59"/>
      <c r="U25" s="59"/>
      <c r="W25" s="58"/>
      <c r="AC25" s="41"/>
      <c r="AD25" s="59"/>
      <c r="AE25" s="59"/>
      <c r="AH25"/>
      <c r="AI25" s="58"/>
      <c r="AJ25"/>
      <c r="AK25"/>
      <c r="AL25"/>
      <c r="AM25" s="20"/>
      <c r="AN25" s="40"/>
      <c r="AO25" s="41"/>
      <c r="AP25" s="59"/>
      <c r="AQ25" s="3"/>
      <c r="AS25" s="48"/>
    </row>
    <row r="26" spans="2:45" x14ac:dyDescent="0.3">
      <c r="B26" s="60"/>
      <c r="C26" s="299" t="s">
        <v>24</v>
      </c>
      <c r="D26" s="300"/>
      <c r="E26" s="300"/>
      <c r="F26" s="300"/>
      <c r="G26" s="300"/>
      <c r="H26" s="300"/>
      <c r="I26" s="61"/>
      <c r="J26" s="59"/>
      <c r="K26"/>
      <c r="L26" s="60"/>
      <c r="M26" s="299" t="s">
        <v>24</v>
      </c>
      <c r="N26" s="300"/>
      <c r="O26" s="300"/>
      <c r="P26" s="300"/>
      <c r="Q26" s="300"/>
      <c r="R26" s="300"/>
      <c r="S26" s="61"/>
      <c r="T26" s="59"/>
      <c r="U26"/>
      <c r="V26" s="60"/>
      <c r="W26" s="299" t="s">
        <v>24</v>
      </c>
      <c r="X26" s="300"/>
      <c r="Y26" s="300"/>
      <c r="Z26" s="300"/>
      <c r="AA26" s="300"/>
      <c r="AB26" s="300"/>
      <c r="AC26" s="61"/>
      <c r="AD26" s="59"/>
      <c r="AE26"/>
      <c r="AF26" s="62"/>
      <c r="AG26" s="63"/>
      <c r="AH26" s="60"/>
      <c r="AI26" s="299" t="s">
        <v>24</v>
      </c>
      <c r="AJ26" s="300"/>
      <c r="AK26" s="300"/>
      <c r="AL26" s="300"/>
      <c r="AM26" s="300"/>
      <c r="AN26" s="300"/>
      <c r="AO26" s="61"/>
      <c r="AP26" s="59"/>
      <c r="AQ26" s="3"/>
      <c r="AS26" s="48"/>
    </row>
    <row r="27" spans="2:45" x14ac:dyDescent="0.3">
      <c r="B27" s="60"/>
      <c r="C27" s="64">
        <v>1E-3</v>
      </c>
      <c r="D27" s="60" t="s">
        <v>25</v>
      </c>
      <c r="E27" s="65">
        <f>(I24-SUM(I18:I20))+I29+I40</f>
        <v>16810.171261487052</v>
      </c>
      <c r="F27" s="60"/>
      <c r="G27" s="66"/>
      <c r="H27" s="67" t="s">
        <v>26</v>
      </c>
      <c r="I27" s="61">
        <f>E27*C27</f>
        <v>16.810171261487053</v>
      </c>
      <c r="J27" s="68">
        <f>I27/$I$32</f>
        <v>7.1169357863999135E-3</v>
      </c>
      <c r="K27"/>
      <c r="L27" s="60"/>
      <c r="M27" s="64">
        <v>0</v>
      </c>
      <c r="N27" s="60" t="s">
        <v>25</v>
      </c>
      <c r="O27" s="65">
        <f>(S24-SUM(S18:S20))+S29+S40</f>
        <v>0</v>
      </c>
      <c r="P27" s="60"/>
      <c r="Q27" s="66"/>
      <c r="R27" s="67" t="s">
        <v>26</v>
      </c>
      <c r="S27" s="61">
        <f>O27*M27</f>
        <v>0</v>
      </c>
      <c r="T27" s="68">
        <f>S27/$I$32</f>
        <v>0</v>
      </c>
      <c r="U27"/>
      <c r="V27" s="60"/>
      <c r="W27" s="64">
        <v>0</v>
      </c>
      <c r="X27" s="60" t="s">
        <v>25</v>
      </c>
      <c r="Y27" s="65">
        <f>(AC24-SUM(AC18:AC20))+AC29+AC40</f>
        <v>0</v>
      </c>
      <c r="Z27" s="60"/>
      <c r="AA27" s="66"/>
      <c r="AB27" s="67" t="s">
        <v>26</v>
      </c>
      <c r="AC27" s="61">
        <f>Y27*W27</f>
        <v>0</v>
      </c>
      <c r="AD27" s="68">
        <f>AC27/$I$32</f>
        <v>0</v>
      </c>
      <c r="AE27"/>
      <c r="AF27" s="69"/>
      <c r="AG27" s="70"/>
      <c r="AH27" s="60"/>
      <c r="AI27" s="64"/>
      <c r="AJ27" s="60" t="s">
        <v>25</v>
      </c>
      <c r="AK27" s="60"/>
      <c r="AL27" s="60"/>
      <c r="AM27" s="66"/>
      <c r="AN27" s="67" t="s">
        <v>26</v>
      </c>
      <c r="AO27" s="61">
        <f>SUM(I27+S27+AC27)</f>
        <v>16.810171261487053</v>
      </c>
      <c r="AP27" s="68">
        <f>AO27/$AO$32</f>
        <v>7.1169357863999135E-3</v>
      </c>
      <c r="AQ27" s="3"/>
    </row>
    <row r="28" spans="2:45" x14ac:dyDescent="0.3">
      <c r="B28" s="60"/>
      <c r="C28" s="64">
        <v>0.08</v>
      </c>
      <c r="D28" s="60" t="s">
        <v>27</v>
      </c>
      <c r="E28" s="65">
        <f>(I24-SUM(I18:I20))+I29+I40</f>
        <v>16810.171261487052</v>
      </c>
      <c r="F28" s="60"/>
      <c r="G28" s="66"/>
      <c r="H28" s="67" t="s">
        <v>26</v>
      </c>
      <c r="I28" s="61">
        <f>E28*C28</f>
        <v>1344.8137009189643</v>
      </c>
      <c r="J28" s="68">
        <f>I28/$I$32</f>
        <v>0.56935486291199311</v>
      </c>
      <c r="K28"/>
      <c r="L28" s="60"/>
      <c r="M28" s="64">
        <v>0</v>
      </c>
      <c r="N28" s="60" t="s">
        <v>27</v>
      </c>
      <c r="O28" s="65">
        <f>(S24-SUM(S18:S20))+S29+S40</f>
        <v>0</v>
      </c>
      <c r="P28" s="60"/>
      <c r="Q28" s="66"/>
      <c r="R28" s="67" t="s">
        <v>26</v>
      </c>
      <c r="S28" s="61">
        <f>O28*M28</f>
        <v>0</v>
      </c>
      <c r="T28" s="68">
        <f>S28/$I$32</f>
        <v>0</v>
      </c>
      <c r="U28"/>
      <c r="V28" s="60"/>
      <c r="W28" s="64">
        <v>0</v>
      </c>
      <c r="X28" s="60" t="s">
        <v>27</v>
      </c>
      <c r="Y28" s="65">
        <f>(AC24-SUM(AC18:AC20))+AC29+AC40</f>
        <v>0</v>
      </c>
      <c r="Z28" s="60"/>
      <c r="AA28" s="66"/>
      <c r="AB28" s="67" t="s">
        <v>26</v>
      </c>
      <c r="AC28" s="61">
        <f>Y28*W28</f>
        <v>0</v>
      </c>
      <c r="AD28" s="68">
        <f>AC28/$I$32</f>
        <v>0</v>
      </c>
      <c r="AE28"/>
      <c r="AF28" s="71"/>
      <c r="AG28" s="72"/>
      <c r="AH28" s="60"/>
      <c r="AI28" s="64"/>
      <c r="AJ28" s="60" t="s">
        <v>27</v>
      </c>
      <c r="AK28" s="60"/>
      <c r="AL28" s="60"/>
      <c r="AM28" s="66"/>
      <c r="AN28" s="67" t="s">
        <v>26</v>
      </c>
      <c r="AO28" s="61">
        <f>SUM(I28+S28+AC28)</f>
        <v>1344.8137009189643</v>
      </c>
      <c r="AP28" s="68">
        <f>AO28/$AO$32</f>
        <v>0.56935486291199311</v>
      </c>
      <c r="AQ28" s="3"/>
    </row>
    <row r="29" spans="2:45" x14ac:dyDescent="0.3">
      <c r="B29" s="60"/>
      <c r="C29" s="64">
        <v>0</v>
      </c>
      <c r="D29" s="60" t="s">
        <v>28</v>
      </c>
      <c r="E29" s="65">
        <f>(I24-SUM(I18:I20))+I40</f>
        <v>16810.171261487052</v>
      </c>
      <c r="F29" s="60"/>
      <c r="G29" s="66"/>
      <c r="H29" s="67" t="s">
        <v>29</v>
      </c>
      <c r="I29" s="61">
        <f>E29*C29</f>
        <v>0</v>
      </c>
      <c r="J29" s="68">
        <f>I29/$I$32</f>
        <v>0</v>
      </c>
      <c r="K29"/>
      <c r="L29" s="60"/>
      <c r="M29" s="64">
        <v>0</v>
      </c>
      <c r="N29" s="60" t="s">
        <v>28</v>
      </c>
      <c r="O29" s="65">
        <f>(S24-SUM(S18:S20))+S40</f>
        <v>0</v>
      </c>
      <c r="P29" s="60"/>
      <c r="Q29" s="66"/>
      <c r="R29" s="67" t="s">
        <v>29</v>
      </c>
      <c r="S29" s="61">
        <f>O29*M29</f>
        <v>0</v>
      </c>
      <c r="T29" s="68">
        <f>S29/$I$32</f>
        <v>0</v>
      </c>
      <c r="U29"/>
      <c r="V29" s="60"/>
      <c r="W29" s="64">
        <v>0</v>
      </c>
      <c r="X29" s="60" t="s">
        <v>28</v>
      </c>
      <c r="Y29" s="65">
        <f>(AC24-SUM(AC18:AC20))+AC40</f>
        <v>0</v>
      </c>
      <c r="Z29" s="60"/>
      <c r="AA29" s="66"/>
      <c r="AB29" s="67" t="s">
        <v>29</v>
      </c>
      <c r="AC29" s="61">
        <f>Y29*W29</f>
        <v>0</v>
      </c>
      <c r="AD29" s="68">
        <f>AC29/$I$32</f>
        <v>0</v>
      </c>
      <c r="AE29"/>
      <c r="AF29" s="71"/>
      <c r="AG29" s="72"/>
      <c r="AH29" s="60"/>
      <c r="AI29" s="64"/>
      <c r="AJ29" s="60" t="s">
        <v>28</v>
      </c>
      <c r="AK29" s="60"/>
      <c r="AL29" s="60"/>
      <c r="AM29" s="66"/>
      <c r="AN29" s="67" t="s">
        <v>29</v>
      </c>
      <c r="AO29" s="61">
        <f>SUM(I29+S29+AC29)</f>
        <v>0</v>
      </c>
      <c r="AP29" s="68">
        <f>AO29/$AO$32</f>
        <v>0</v>
      </c>
      <c r="AQ29" s="3"/>
    </row>
    <row r="30" spans="2:45" x14ac:dyDescent="0.3">
      <c r="B30" s="60"/>
      <c r="C30" s="64">
        <v>0.05</v>
      </c>
      <c r="D30" s="60" t="s">
        <v>30</v>
      </c>
      <c r="E30" s="65">
        <f>I24+I40</f>
        <v>20007.435254803677</v>
      </c>
      <c r="F30" s="60"/>
      <c r="G30" s="66"/>
      <c r="H30" s="67" t="s">
        <v>31</v>
      </c>
      <c r="I30" s="61">
        <f>E30*C30</f>
        <v>1000.3717627401838</v>
      </c>
      <c r="J30" s="68">
        <f>I30/$I$32</f>
        <v>0.42352820130160707</v>
      </c>
      <c r="K30"/>
      <c r="L30" s="60"/>
      <c r="M30" s="64">
        <v>0</v>
      </c>
      <c r="N30" s="60" t="s">
        <v>30</v>
      </c>
      <c r="O30" s="65">
        <f>S24+S40</f>
        <v>0</v>
      </c>
      <c r="P30" s="60"/>
      <c r="Q30" s="66"/>
      <c r="R30" s="67" t="s">
        <v>31</v>
      </c>
      <c r="S30" s="61">
        <f>O30*M30</f>
        <v>0</v>
      </c>
      <c r="T30" s="68">
        <f>S30/$I$32</f>
        <v>0</v>
      </c>
      <c r="U30"/>
      <c r="V30" s="60"/>
      <c r="W30" s="64">
        <v>0</v>
      </c>
      <c r="X30" s="60" t="s">
        <v>30</v>
      </c>
      <c r="Y30" s="65">
        <f>AC24+AC40</f>
        <v>0</v>
      </c>
      <c r="Z30" s="60"/>
      <c r="AA30" s="66"/>
      <c r="AB30" s="67" t="s">
        <v>31</v>
      </c>
      <c r="AC30" s="61">
        <f>Y30*W30</f>
        <v>0</v>
      </c>
      <c r="AD30" s="68">
        <f>AC30/$I$32</f>
        <v>0</v>
      </c>
      <c r="AE30"/>
      <c r="AF30" s="71"/>
      <c r="AG30" s="72"/>
      <c r="AH30" s="60"/>
      <c r="AI30" s="64"/>
      <c r="AJ30" s="60" t="s">
        <v>30</v>
      </c>
      <c r="AK30" s="60"/>
      <c r="AL30" s="60"/>
      <c r="AM30" s="66"/>
      <c r="AN30" s="67" t="s">
        <v>31</v>
      </c>
      <c r="AO30" s="61">
        <f>SUM(I30+S30+AC30)</f>
        <v>1000.3717627401838</v>
      </c>
      <c r="AP30" s="68">
        <f>AO30/$AO$32</f>
        <v>0.42352820130160707</v>
      </c>
      <c r="AQ30" s="3"/>
    </row>
    <row r="31" spans="2:45" x14ac:dyDescent="0.3">
      <c r="B31" s="60"/>
      <c r="C31" s="64"/>
      <c r="D31" s="60"/>
      <c r="E31" s="73"/>
      <c r="F31" s="60"/>
      <c r="G31" s="66"/>
      <c r="H31" s="67"/>
      <c r="I31" s="61"/>
      <c r="J31" s="68"/>
      <c r="K31"/>
      <c r="L31" s="60"/>
      <c r="M31" s="64"/>
      <c r="N31" s="60"/>
      <c r="O31" s="73"/>
      <c r="P31" s="60"/>
      <c r="Q31" s="66"/>
      <c r="R31" s="67"/>
      <c r="S31" s="61"/>
      <c r="T31" s="68"/>
      <c r="U31"/>
      <c r="V31" s="60"/>
      <c r="W31" s="64"/>
      <c r="X31" s="60"/>
      <c r="Y31" s="73"/>
      <c r="Z31" s="60"/>
      <c r="AA31" s="66"/>
      <c r="AB31" s="67"/>
      <c r="AC31" s="61"/>
      <c r="AD31" s="68"/>
      <c r="AE31"/>
      <c r="AF31" s="71"/>
      <c r="AG31" s="72"/>
      <c r="AH31" s="60"/>
      <c r="AI31" s="64"/>
      <c r="AJ31" s="60"/>
      <c r="AK31" s="60"/>
      <c r="AL31" s="60"/>
      <c r="AM31" s="66"/>
      <c r="AN31" s="74"/>
      <c r="AO31" s="61"/>
      <c r="AP31" s="68"/>
      <c r="AQ31" s="3"/>
    </row>
    <row r="32" spans="2:45" x14ac:dyDescent="0.3">
      <c r="B32" s="60"/>
      <c r="C32" s="75"/>
      <c r="D32" s="60"/>
      <c r="E32" s="73"/>
      <c r="F32" s="60"/>
      <c r="G32" s="66"/>
      <c r="H32" s="76" t="s">
        <v>32</v>
      </c>
      <c r="I32" s="61">
        <f>SUM(I27:I31)</f>
        <v>2361.995634920635</v>
      </c>
      <c r="J32" s="55">
        <f>I32/I34</f>
        <v>0.11157577391781245</v>
      </c>
      <c r="K32" s="55"/>
      <c r="L32" s="60"/>
      <c r="M32" s="75"/>
      <c r="N32" s="60"/>
      <c r="O32" s="73"/>
      <c r="P32" s="60"/>
      <c r="Q32" s="66"/>
      <c r="R32" s="76" t="s">
        <v>32</v>
      </c>
      <c r="S32" s="61">
        <f>SUM(S27:S31)</f>
        <v>0</v>
      </c>
      <c r="T32" s="55" t="e">
        <f>S32/S34</f>
        <v>#DIV/0!</v>
      </c>
      <c r="U32" s="55"/>
      <c r="V32" s="60"/>
      <c r="W32" s="75"/>
      <c r="X32" s="60"/>
      <c r="Y32" s="73"/>
      <c r="Z32" s="60"/>
      <c r="AA32" s="66"/>
      <c r="AB32" s="76" t="s">
        <v>32</v>
      </c>
      <c r="AC32" s="61">
        <f>SUM(AC27:AC31)</f>
        <v>0</v>
      </c>
      <c r="AD32" s="55" t="e">
        <f>AC32/AC34</f>
        <v>#DIV/0!</v>
      </c>
      <c r="AE32" s="55"/>
      <c r="AF32" s="56"/>
      <c r="AG32" s="57"/>
      <c r="AH32" s="60"/>
      <c r="AI32" s="75"/>
      <c r="AJ32" s="60"/>
      <c r="AK32" s="60"/>
      <c r="AL32" s="60"/>
      <c r="AM32" s="66"/>
      <c r="AN32" s="76" t="s">
        <v>32</v>
      </c>
      <c r="AO32" s="61">
        <f>SUM(AO27:AO30)</f>
        <v>2361.995634920635</v>
      </c>
      <c r="AP32" s="55">
        <f>AO32/AO34</f>
        <v>0.11157577391781245</v>
      </c>
      <c r="AQ32" s="3" t="s">
        <v>23</v>
      </c>
    </row>
    <row r="33" spans="2:43" x14ac:dyDescent="0.3">
      <c r="C33" s="58"/>
      <c r="I33" s="41"/>
      <c r="M33" s="58"/>
      <c r="S33" s="41"/>
      <c r="W33" s="58"/>
      <c r="AC33" s="41"/>
      <c r="AH33"/>
      <c r="AI33" s="58"/>
      <c r="AJ33"/>
      <c r="AK33"/>
      <c r="AL33"/>
      <c r="AM33" s="20"/>
      <c r="AN33" s="40"/>
      <c r="AO33" s="41"/>
      <c r="AP33" s="20"/>
    </row>
    <row r="34" spans="2:43" ht="15.6" x14ac:dyDescent="0.3">
      <c r="C34" s="58"/>
      <c r="D34" s="77"/>
      <c r="E34" s="78"/>
      <c r="F34" s="77"/>
      <c r="G34" s="79"/>
      <c r="H34" s="80" t="s">
        <v>33</v>
      </c>
      <c r="I34" s="81">
        <f>SUM(I32,I24)</f>
        <v>21169.43088972431</v>
      </c>
      <c r="M34" s="58"/>
      <c r="N34" s="77"/>
      <c r="O34" s="78"/>
      <c r="P34" s="77"/>
      <c r="Q34" s="79"/>
      <c r="R34" s="80" t="s">
        <v>33</v>
      </c>
      <c r="S34" s="81">
        <f>SUM(S32,S24)</f>
        <v>0</v>
      </c>
      <c r="W34" s="58"/>
      <c r="X34" s="77"/>
      <c r="Y34" s="78"/>
      <c r="Z34" s="77"/>
      <c r="AA34" s="79"/>
      <c r="AB34" s="80" t="s">
        <v>33</v>
      </c>
      <c r="AC34" s="81">
        <f>SUM(AC32,AC24)</f>
        <v>0</v>
      </c>
      <c r="AF34" s="82"/>
      <c r="AG34" s="80"/>
      <c r="AH34"/>
      <c r="AI34" s="58"/>
      <c r="AJ34" s="77"/>
      <c r="AK34" s="77"/>
      <c r="AL34" s="77"/>
      <c r="AM34" s="79"/>
      <c r="AN34" s="80" t="s">
        <v>33</v>
      </c>
      <c r="AO34" s="81">
        <f>SUM(AO32,AO24)</f>
        <v>21169.43088972431</v>
      </c>
      <c r="AP34" s="20"/>
    </row>
    <row r="35" spans="2:43" x14ac:dyDescent="0.3">
      <c r="C35" s="58"/>
      <c r="I35" s="41"/>
      <c r="M35" s="58"/>
      <c r="S35" s="41"/>
      <c r="W35" s="58"/>
      <c r="AC35" s="41"/>
      <c r="AH35"/>
      <c r="AI35" s="58"/>
      <c r="AJ35"/>
      <c r="AK35"/>
      <c r="AL35"/>
      <c r="AM35" s="20"/>
      <c r="AN35" s="40"/>
      <c r="AO35" s="41"/>
      <c r="AP35" s="20"/>
    </row>
    <row r="36" spans="2:43" x14ac:dyDescent="0.3">
      <c r="B36" s="83"/>
      <c r="C36" s="301" t="s">
        <v>34</v>
      </c>
      <c r="D36" s="302"/>
      <c r="E36" s="302"/>
      <c r="F36" s="302"/>
      <c r="G36" s="302"/>
      <c r="H36" s="302"/>
      <c r="I36" s="84"/>
      <c r="J36" s="2"/>
      <c r="L36" s="83"/>
      <c r="M36" s="301" t="s">
        <v>34</v>
      </c>
      <c r="N36" s="302"/>
      <c r="O36" s="302"/>
      <c r="P36" s="302"/>
      <c r="Q36" s="302"/>
      <c r="R36" s="302"/>
      <c r="S36" s="84"/>
      <c r="T36" s="2"/>
      <c r="V36" s="83"/>
      <c r="W36" s="301" t="s">
        <v>34</v>
      </c>
      <c r="X36" s="302"/>
      <c r="Y36" s="302"/>
      <c r="Z36" s="302"/>
      <c r="AA36" s="302"/>
      <c r="AB36" s="302"/>
      <c r="AC36" s="84"/>
      <c r="AD36" s="2"/>
      <c r="AH36"/>
      <c r="AI36" s="301" t="s">
        <v>34</v>
      </c>
      <c r="AJ36" s="302"/>
      <c r="AK36" s="302"/>
      <c r="AL36" s="302"/>
      <c r="AM36" s="302"/>
      <c r="AN36" s="302"/>
      <c r="AO36" s="84"/>
      <c r="AP36" s="20"/>
    </row>
    <row r="37" spans="2:43" x14ac:dyDescent="0.3">
      <c r="B37" s="85"/>
      <c r="C37" s="86"/>
      <c r="D37" s="87" t="s">
        <v>35</v>
      </c>
      <c r="E37" s="88"/>
      <c r="F37" s="87"/>
      <c r="G37" s="89"/>
      <c r="H37" s="90"/>
      <c r="I37" s="91">
        <v>1000</v>
      </c>
      <c r="J37" s="2"/>
      <c r="L37" s="85"/>
      <c r="M37" s="86"/>
      <c r="N37" s="87" t="s">
        <v>35</v>
      </c>
      <c r="O37" s="88"/>
      <c r="P37" s="87"/>
      <c r="Q37" s="89"/>
      <c r="R37" s="90"/>
      <c r="S37" s="91">
        <v>0</v>
      </c>
      <c r="T37" s="2"/>
      <c r="V37" s="85"/>
      <c r="W37" s="86"/>
      <c r="X37" s="87" t="s">
        <v>35</v>
      </c>
      <c r="Y37" s="88"/>
      <c r="Z37" s="87"/>
      <c r="AA37" s="89"/>
      <c r="AB37" s="90"/>
      <c r="AC37" s="91">
        <v>0</v>
      </c>
      <c r="AD37" s="2"/>
      <c r="AH37"/>
      <c r="AI37" s="86"/>
      <c r="AJ37" s="87" t="s">
        <v>35</v>
      </c>
      <c r="AK37" s="87"/>
      <c r="AL37" s="87"/>
      <c r="AM37" s="89"/>
      <c r="AN37" s="90"/>
      <c r="AO37" s="91">
        <f>SUM(AC37,S37,I37)</f>
        <v>1000</v>
      </c>
      <c r="AP37" s="20"/>
    </row>
    <row r="38" spans="2:43" x14ac:dyDescent="0.3">
      <c r="B38" s="85"/>
      <c r="C38" s="86"/>
      <c r="D38" s="87" t="s">
        <v>36</v>
      </c>
      <c r="E38" s="88"/>
      <c r="F38" s="87"/>
      <c r="G38" s="89"/>
      <c r="H38" s="90"/>
      <c r="I38" s="91">
        <v>200</v>
      </c>
      <c r="J38" s="2"/>
      <c r="L38" s="85"/>
      <c r="M38" s="86"/>
      <c r="N38" s="87" t="s">
        <v>36</v>
      </c>
      <c r="O38" s="88"/>
      <c r="P38" s="87"/>
      <c r="Q38" s="89"/>
      <c r="R38" s="90"/>
      <c r="S38" s="91">
        <v>0</v>
      </c>
      <c r="T38" s="2"/>
      <c r="V38" s="85"/>
      <c r="W38" s="86"/>
      <c r="X38" s="87" t="s">
        <v>36</v>
      </c>
      <c r="Y38" s="88"/>
      <c r="Z38" s="87"/>
      <c r="AA38" s="89"/>
      <c r="AB38" s="90"/>
      <c r="AC38" s="91">
        <v>0</v>
      </c>
      <c r="AD38" s="2"/>
      <c r="AH38"/>
      <c r="AI38" s="86"/>
      <c r="AJ38" s="87" t="s">
        <v>36</v>
      </c>
      <c r="AK38" s="87"/>
      <c r="AL38" s="87"/>
      <c r="AM38" s="89"/>
      <c r="AN38" s="90"/>
      <c r="AO38" s="91">
        <f>SUM(AC38,S38,I38)</f>
        <v>200</v>
      </c>
      <c r="AP38" s="20"/>
    </row>
    <row r="39" spans="2:43" x14ac:dyDescent="0.3">
      <c r="B39" s="85"/>
      <c r="C39" s="92"/>
      <c r="D39" s="93"/>
      <c r="E39" s="94"/>
      <c r="F39" s="93"/>
      <c r="G39" s="95"/>
      <c r="H39" s="96" t="s">
        <v>37</v>
      </c>
      <c r="I39" s="97"/>
      <c r="J39" s="2"/>
      <c r="L39" s="85"/>
      <c r="M39" s="92"/>
      <c r="N39" s="93"/>
      <c r="O39" s="94"/>
      <c r="P39" s="93"/>
      <c r="Q39" s="95"/>
      <c r="R39" s="96" t="s">
        <v>37</v>
      </c>
      <c r="S39" s="97"/>
      <c r="T39" s="2"/>
      <c r="V39" s="85"/>
      <c r="W39" s="92"/>
      <c r="X39" s="93"/>
      <c r="Y39" s="94"/>
      <c r="Z39" s="93"/>
      <c r="AA39" s="95"/>
      <c r="AB39" s="96" t="s">
        <v>37</v>
      </c>
      <c r="AC39" s="97"/>
      <c r="AD39" s="2"/>
      <c r="AH39"/>
      <c r="AI39" s="86"/>
      <c r="AJ39" s="87"/>
      <c r="AK39" s="87"/>
      <c r="AL39" s="87"/>
      <c r="AM39" s="89"/>
      <c r="AN39" s="90"/>
      <c r="AO39" s="91"/>
      <c r="AP39" s="20"/>
    </row>
    <row r="40" spans="2:43" x14ac:dyDescent="0.3">
      <c r="B40" s="98"/>
      <c r="C40" s="88"/>
      <c r="D40" s="93"/>
      <c r="E40" s="94"/>
      <c r="F40" s="93"/>
      <c r="G40" s="95"/>
      <c r="H40" s="99" t="s">
        <v>38</v>
      </c>
      <c r="I40" s="97">
        <f>SUM(I37:I39)</f>
        <v>1200</v>
      </c>
      <c r="J40" s="100"/>
      <c r="L40" s="98"/>
      <c r="M40" s="88"/>
      <c r="N40" s="93"/>
      <c r="O40" s="94"/>
      <c r="P40" s="93"/>
      <c r="Q40" s="95"/>
      <c r="R40" s="99" t="s">
        <v>38</v>
      </c>
      <c r="S40" s="97">
        <f>SUM(S37:S39)</f>
        <v>0</v>
      </c>
      <c r="T40" s="100"/>
      <c r="V40" s="98"/>
      <c r="W40" s="88"/>
      <c r="X40" s="93"/>
      <c r="Y40" s="94"/>
      <c r="Z40" s="93"/>
      <c r="AA40" s="95"/>
      <c r="AB40" s="99" t="s">
        <v>38</v>
      </c>
      <c r="AC40" s="97">
        <f>SUM(AC37:AC39)</f>
        <v>0</v>
      </c>
      <c r="AD40" s="100"/>
      <c r="AH40"/>
      <c r="AI40" s="86"/>
      <c r="AJ40" s="87"/>
      <c r="AK40" s="93"/>
      <c r="AL40" s="93"/>
      <c r="AM40" s="95"/>
      <c r="AN40" s="99" t="s">
        <v>39</v>
      </c>
      <c r="AO40" s="97">
        <f>SUM(AO37:AO39)</f>
        <v>1200</v>
      </c>
      <c r="AP40" s="20"/>
    </row>
    <row r="41" spans="2:43" x14ac:dyDescent="0.3">
      <c r="C41" s="3"/>
      <c r="H41" s="57"/>
      <c r="J41" s="100"/>
      <c r="M41" s="3"/>
      <c r="R41" s="57"/>
      <c r="T41" s="100"/>
      <c r="W41" s="3"/>
      <c r="AB41" s="57"/>
      <c r="AD41" s="100"/>
      <c r="AH41"/>
      <c r="AI41" s="58"/>
      <c r="AJ41"/>
      <c r="AK41"/>
      <c r="AL41"/>
      <c r="AM41" s="20"/>
      <c r="AN41" s="57"/>
      <c r="AO41" s="41"/>
      <c r="AP41" s="20"/>
    </row>
    <row r="42" spans="2:43" x14ac:dyDescent="0.3">
      <c r="B42" s="60"/>
      <c r="C42" s="101" t="s">
        <v>40</v>
      </c>
      <c r="D42" s="60" t="s">
        <v>41</v>
      </c>
      <c r="E42" s="73"/>
      <c r="F42" s="60"/>
      <c r="G42" s="66"/>
      <c r="H42" s="74"/>
      <c r="I42" s="102">
        <f>IF(C43="x",MAX(0,E51),0)</f>
        <v>0</v>
      </c>
      <c r="J42" s="68"/>
      <c r="K42"/>
      <c r="L42" s="60"/>
      <c r="M42" s="101" t="s">
        <v>40</v>
      </c>
      <c r="N42" s="60" t="s">
        <v>41</v>
      </c>
      <c r="O42" s="73"/>
      <c r="P42" s="60"/>
      <c r="Q42" s="66"/>
      <c r="R42" s="74"/>
      <c r="S42" s="102">
        <f>IF(M43="x",MAX(0,O51),0)</f>
        <v>0</v>
      </c>
      <c r="T42" s="68"/>
      <c r="U42"/>
      <c r="V42" s="60"/>
      <c r="W42" s="101" t="s">
        <v>40</v>
      </c>
      <c r="X42" s="60" t="s">
        <v>41</v>
      </c>
      <c r="Y42" s="73"/>
      <c r="Z42" s="60"/>
      <c r="AA42" s="66"/>
      <c r="AB42" s="74"/>
      <c r="AC42" s="102">
        <f>IF(W43="x",MAX(0,Y51),0)</f>
        <v>0</v>
      </c>
      <c r="AD42" s="68"/>
      <c r="AE42"/>
      <c r="AF42" s="71"/>
      <c r="AG42" s="72"/>
      <c r="AH42" s="60"/>
      <c r="AI42" s="60"/>
      <c r="AJ42" s="60" t="s">
        <v>41</v>
      </c>
      <c r="AK42" s="73"/>
      <c r="AL42" s="60"/>
      <c r="AM42" s="66"/>
      <c r="AN42" s="74"/>
      <c r="AO42" s="102">
        <f>SUM(AC42,S42,I42)</f>
        <v>0</v>
      </c>
      <c r="AP42" s="68">
        <f>AO42/$AO$32</f>
        <v>0</v>
      </c>
      <c r="AQ42" s="3"/>
    </row>
    <row r="43" spans="2:43" x14ac:dyDescent="0.3">
      <c r="B43" s="60"/>
      <c r="C43" s="103"/>
      <c r="D43" s="73" t="s">
        <v>42</v>
      </c>
      <c r="E43" s="104">
        <f>IF(C43="x",(I24+I40+I30),0)</f>
        <v>0</v>
      </c>
      <c r="F43" s="60"/>
      <c r="G43" s="66"/>
      <c r="H43" s="67" t="s">
        <v>43</v>
      </c>
      <c r="I43" s="102"/>
      <c r="J43" s="59"/>
      <c r="K43"/>
      <c r="L43" s="60"/>
      <c r="M43" s="103"/>
      <c r="N43" s="73" t="s">
        <v>42</v>
      </c>
      <c r="O43" s="104">
        <f>IF(M43="x",(S24+S40+S30),0)</f>
        <v>0</v>
      </c>
      <c r="P43" s="60"/>
      <c r="Q43" s="66"/>
      <c r="R43" s="67" t="s">
        <v>43</v>
      </c>
      <c r="S43" s="102"/>
      <c r="T43" s="59"/>
      <c r="U43"/>
      <c r="V43" s="60"/>
      <c r="W43" s="103"/>
      <c r="X43" s="73" t="s">
        <v>42</v>
      </c>
      <c r="Y43" s="104">
        <f>IF(W43="x",(AC24+AC40+AC30),0)</f>
        <v>0</v>
      </c>
      <c r="Z43" s="60"/>
      <c r="AA43" s="66"/>
      <c r="AB43" s="67" t="s">
        <v>43</v>
      </c>
      <c r="AC43" s="102"/>
      <c r="AD43" s="59"/>
      <c r="AE43"/>
      <c r="AF43" s="71"/>
      <c r="AG43" s="72"/>
      <c r="AH43" s="60"/>
      <c r="AI43" s="73"/>
      <c r="AJ43" s="73" t="s">
        <v>42</v>
      </c>
      <c r="AK43" s="104">
        <f>SUM(Y43,O43,E43)</f>
        <v>0</v>
      </c>
      <c r="AL43" s="60"/>
      <c r="AM43" s="66"/>
      <c r="AN43" s="67" t="s">
        <v>43</v>
      </c>
      <c r="AO43" s="102"/>
      <c r="AP43" s="59"/>
      <c r="AQ43" s="3"/>
    </row>
    <row r="44" spans="2:43" x14ac:dyDescent="0.3">
      <c r="B44" s="60"/>
      <c r="C44" s="64"/>
      <c r="D44" s="73" t="s">
        <v>44</v>
      </c>
      <c r="E44" s="73"/>
      <c r="F44" s="303">
        <v>0.4</v>
      </c>
      <c r="G44" s="303"/>
      <c r="H44" s="105" t="s">
        <v>45</v>
      </c>
      <c r="I44" s="67"/>
      <c r="J44" s="59"/>
      <c r="K44"/>
      <c r="L44" s="60"/>
      <c r="M44" s="64"/>
      <c r="N44" s="73" t="s">
        <v>44</v>
      </c>
      <c r="O44" s="73"/>
      <c r="P44" s="303">
        <v>0</v>
      </c>
      <c r="Q44" s="303"/>
      <c r="R44" s="105" t="s">
        <v>45</v>
      </c>
      <c r="S44" s="67"/>
      <c r="T44" s="59"/>
      <c r="U44"/>
      <c r="V44" s="60"/>
      <c r="W44" s="64"/>
      <c r="X44" s="73" t="s">
        <v>44</v>
      </c>
      <c r="Y44" s="73"/>
      <c r="Z44" s="303">
        <v>0</v>
      </c>
      <c r="AA44" s="303"/>
      <c r="AB44" s="105" t="s">
        <v>45</v>
      </c>
      <c r="AC44" s="67"/>
      <c r="AD44" s="59"/>
      <c r="AE44"/>
      <c r="AF44" s="71"/>
      <c r="AG44" s="72"/>
      <c r="AH44" s="60"/>
      <c r="AI44" s="73"/>
      <c r="AJ44" s="73" t="s">
        <v>44</v>
      </c>
      <c r="AK44" s="73"/>
      <c r="AL44" s="303">
        <f>SUM(Z44,P44,F44)</f>
        <v>0.4</v>
      </c>
      <c r="AM44" s="303"/>
      <c r="AN44" s="105" t="s">
        <v>45</v>
      </c>
      <c r="AO44" s="67"/>
      <c r="AP44" s="59"/>
      <c r="AQ44" s="3"/>
    </row>
    <row r="45" spans="2:43" x14ac:dyDescent="0.3">
      <c r="B45" s="60"/>
      <c r="C45" s="64"/>
      <c r="D45" s="73" t="s">
        <v>46</v>
      </c>
      <c r="E45" s="73"/>
      <c r="F45" s="303">
        <v>0.12</v>
      </c>
      <c r="G45" s="303"/>
      <c r="H45" s="106">
        <f>E43*F45</f>
        <v>0</v>
      </c>
      <c r="I45" s="61"/>
      <c r="J45" s="59"/>
      <c r="K45"/>
      <c r="L45" s="60"/>
      <c r="M45" s="64"/>
      <c r="N45" s="73" t="s">
        <v>46</v>
      </c>
      <c r="O45" s="73"/>
      <c r="P45" s="303">
        <v>0</v>
      </c>
      <c r="Q45" s="303"/>
      <c r="R45" s="106">
        <f>O43*P45</f>
        <v>0</v>
      </c>
      <c r="S45" s="61"/>
      <c r="T45" s="59"/>
      <c r="U45"/>
      <c r="V45" s="60"/>
      <c r="W45" s="64"/>
      <c r="X45" s="73" t="s">
        <v>46</v>
      </c>
      <c r="Y45" s="73"/>
      <c r="Z45" s="303">
        <v>0</v>
      </c>
      <c r="AA45" s="303"/>
      <c r="AB45" s="106">
        <f>Y43*Z45</f>
        <v>0</v>
      </c>
      <c r="AC45" s="61"/>
      <c r="AD45" s="59"/>
      <c r="AE45"/>
      <c r="AF45" s="71"/>
      <c r="AG45" s="72"/>
      <c r="AH45" s="60"/>
      <c r="AI45" s="73"/>
      <c r="AJ45" s="73" t="s">
        <v>46</v>
      </c>
      <c r="AK45" s="73"/>
      <c r="AL45" s="303">
        <f>SUM(Z45,P45,F45)</f>
        <v>0.12</v>
      </c>
      <c r="AM45" s="303"/>
      <c r="AN45" s="106">
        <f>AK43*AL45</f>
        <v>0</v>
      </c>
      <c r="AO45" s="61"/>
      <c r="AP45" s="59"/>
      <c r="AQ45" s="3"/>
    </row>
    <row r="46" spans="2:43" x14ac:dyDescent="0.3">
      <c r="B46" s="60"/>
      <c r="C46" s="64"/>
      <c r="D46" s="73" t="s">
        <v>47</v>
      </c>
      <c r="E46" s="73"/>
      <c r="F46" s="303">
        <v>0.17</v>
      </c>
      <c r="G46" s="303"/>
      <c r="H46" s="106">
        <f>IF(C43="x",I24*F46,0)</f>
        <v>0</v>
      </c>
      <c r="I46" s="61"/>
      <c r="J46" s="59"/>
      <c r="K46"/>
      <c r="L46" s="60"/>
      <c r="M46" s="64"/>
      <c r="N46" s="73" t="s">
        <v>47</v>
      </c>
      <c r="O46" s="73"/>
      <c r="P46" s="303">
        <v>0</v>
      </c>
      <c r="Q46" s="303"/>
      <c r="R46" s="106">
        <f>IF(M43="x",S24*P46,0)</f>
        <v>0</v>
      </c>
      <c r="S46" s="61"/>
      <c r="T46" s="59"/>
      <c r="U46"/>
      <c r="V46" s="60"/>
      <c r="W46" s="64"/>
      <c r="X46" s="73" t="s">
        <v>47</v>
      </c>
      <c r="Y46" s="73"/>
      <c r="Z46" s="303">
        <v>0</v>
      </c>
      <c r="AA46" s="303"/>
      <c r="AB46" s="106">
        <f>IF(W43="x",AC24*Z46,0)</f>
        <v>0</v>
      </c>
      <c r="AC46" s="61"/>
      <c r="AD46" s="59"/>
      <c r="AE46"/>
      <c r="AF46" s="71"/>
      <c r="AG46" s="72"/>
      <c r="AH46" s="60"/>
      <c r="AI46" s="73"/>
      <c r="AJ46" s="73" t="s">
        <v>47</v>
      </c>
      <c r="AK46" s="73"/>
      <c r="AL46" s="303">
        <f>SUM(Z46,P46,F46)</f>
        <v>0.17</v>
      </c>
      <c r="AM46" s="303"/>
      <c r="AN46" s="106">
        <f>IF(AI43="x",AO24*AL46,0)</f>
        <v>0</v>
      </c>
      <c r="AO46" s="61"/>
      <c r="AP46" s="59"/>
      <c r="AQ46" s="3"/>
    </row>
    <row r="47" spans="2:43" x14ac:dyDescent="0.3">
      <c r="B47" s="60"/>
      <c r="C47" s="64"/>
      <c r="D47" s="73"/>
      <c r="E47" s="73"/>
      <c r="F47" s="304">
        <f>(((1+F44)*(1-F45))/(1-F46))-1</f>
        <v>0.48433734939759043</v>
      </c>
      <c r="G47" s="304"/>
      <c r="H47" s="107" t="s">
        <v>48</v>
      </c>
      <c r="I47" s="102"/>
      <c r="J47" s="59"/>
      <c r="K47"/>
      <c r="L47" s="60"/>
      <c r="M47" s="64"/>
      <c r="N47" s="73"/>
      <c r="O47" s="73"/>
      <c r="P47" s="304">
        <f>(((1+P44)*(1-P45))/(1-P46))-1</f>
        <v>0</v>
      </c>
      <c r="Q47" s="304"/>
      <c r="R47" s="107" t="s">
        <v>48</v>
      </c>
      <c r="S47" s="102"/>
      <c r="T47" s="59"/>
      <c r="U47"/>
      <c r="V47" s="60"/>
      <c r="W47" s="64"/>
      <c r="X47" s="73"/>
      <c r="Y47" s="73"/>
      <c r="Z47" s="304">
        <f>(((1+Z44)*(1-Z45))/(1-Z46))-1</f>
        <v>0</v>
      </c>
      <c r="AA47" s="304"/>
      <c r="AB47" s="107" t="s">
        <v>48</v>
      </c>
      <c r="AC47" s="102"/>
      <c r="AD47" s="59"/>
      <c r="AE47"/>
      <c r="AF47" s="71"/>
      <c r="AG47" s="72"/>
      <c r="AH47" s="60"/>
      <c r="AI47" s="73"/>
      <c r="AJ47" s="73"/>
      <c r="AK47" s="73"/>
      <c r="AL47" s="304">
        <f>(((1+AL44)*(1-AL45))/(1-AL46))-1</f>
        <v>0.48433734939759043</v>
      </c>
      <c r="AM47" s="304"/>
      <c r="AN47" s="107" t="s">
        <v>48</v>
      </c>
      <c r="AO47" s="102"/>
      <c r="AP47" s="59"/>
      <c r="AQ47" s="3"/>
    </row>
    <row r="48" spans="2:43" x14ac:dyDescent="0.3">
      <c r="B48" s="60"/>
      <c r="C48" s="64"/>
      <c r="D48" s="73" t="s">
        <v>49</v>
      </c>
      <c r="E48" s="65">
        <f>E43*(1+F47)</f>
        <v>0</v>
      </c>
      <c r="F48" s="60"/>
      <c r="G48" s="66"/>
      <c r="H48" s="74"/>
      <c r="I48" s="102"/>
      <c r="J48" s="59"/>
      <c r="K48"/>
      <c r="L48" s="60"/>
      <c r="M48" s="64"/>
      <c r="N48" s="73" t="s">
        <v>49</v>
      </c>
      <c r="O48" s="65">
        <f>O43*(1+P47)</f>
        <v>0</v>
      </c>
      <c r="P48" s="60"/>
      <c r="Q48" s="66"/>
      <c r="R48" s="74"/>
      <c r="S48" s="102"/>
      <c r="T48" s="59"/>
      <c r="U48"/>
      <c r="V48" s="60"/>
      <c r="W48" s="64"/>
      <c r="X48" s="73" t="s">
        <v>49</v>
      </c>
      <c r="Y48" s="65">
        <f>Y43*(1+Z47)</f>
        <v>0</v>
      </c>
      <c r="Z48" s="60"/>
      <c r="AA48" s="66"/>
      <c r="AB48" s="74"/>
      <c r="AC48" s="102"/>
      <c r="AD48" s="59"/>
      <c r="AE48"/>
      <c r="AF48" s="71"/>
      <c r="AG48" s="72"/>
      <c r="AH48" s="60"/>
      <c r="AI48" s="73"/>
      <c r="AJ48" s="73" t="s">
        <v>49</v>
      </c>
      <c r="AK48" s="65">
        <f>AK43*(1+AL47)</f>
        <v>0</v>
      </c>
      <c r="AL48" s="60"/>
      <c r="AM48" s="66"/>
      <c r="AN48" s="74"/>
      <c r="AO48" s="102"/>
      <c r="AP48" s="59"/>
      <c r="AQ48" s="3"/>
    </row>
    <row r="49" spans="2:43" x14ac:dyDescent="0.3">
      <c r="B49" s="60"/>
      <c r="C49" s="64"/>
      <c r="D49" s="73" t="s">
        <v>50</v>
      </c>
      <c r="E49" s="65">
        <f>E48*F46</f>
        <v>0</v>
      </c>
      <c r="F49" s="60"/>
      <c r="G49" s="66"/>
      <c r="H49" s="67" t="s">
        <v>51</v>
      </c>
      <c r="I49" s="102"/>
      <c r="J49" s="59"/>
      <c r="K49"/>
      <c r="L49" s="60"/>
      <c r="M49" s="64"/>
      <c r="N49" s="73" t="s">
        <v>50</v>
      </c>
      <c r="O49" s="65">
        <f>O48*P46</f>
        <v>0</v>
      </c>
      <c r="P49" s="60"/>
      <c r="Q49" s="66"/>
      <c r="R49" s="67" t="s">
        <v>51</v>
      </c>
      <c r="S49" s="102"/>
      <c r="T49" s="59"/>
      <c r="U49"/>
      <c r="V49" s="60"/>
      <c r="W49" s="64"/>
      <c r="X49" s="73" t="s">
        <v>50</v>
      </c>
      <c r="Y49" s="65">
        <f>Y48*Z46</f>
        <v>0</v>
      </c>
      <c r="Z49" s="60"/>
      <c r="AA49" s="66"/>
      <c r="AB49" s="67" t="s">
        <v>51</v>
      </c>
      <c r="AC49" s="102"/>
      <c r="AD49" s="59"/>
      <c r="AE49"/>
      <c r="AF49" s="71"/>
      <c r="AG49" s="72"/>
      <c r="AH49" s="60"/>
      <c r="AI49" s="73"/>
      <c r="AJ49" s="73" t="s">
        <v>50</v>
      </c>
      <c r="AK49" s="65">
        <f>AK48*AL46</f>
        <v>0</v>
      </c>
      <c r="AL49" s="60"/>
      <c r="AM49" s="66"/>
      <c r="AN49" s="67" t="s">
        <v>51</v>
      </c>
      <c r="AO49" s="102"/>
      <c r="AP49" s="59"/>
      <c r="AQ49" s="3"/>
    </row>
    <row r="50" spans="2:43" x14ac:dyDescent="0.3">
      <c r="B50" s="60"/>
      <c r="C50" s="64"/>
      <c r="D50" s="108" t="s">
        <v>52</v>
      </c>
      <c r="E50" s="109">
        <f>H45</f>
        <v>0</v>
      </c>
      <c r="F50" s="110"/>
      <c r="G50" s="111"/>
      <c r="H50" s="112" t="s">
        <v>53</v>
      </c>
      <c r="I50" s="102"/>
      <c r="J50" s="59"/>
      <c r="K50"/>
      <c r="L50" s="60"/>
      <c r="M50" s="64"/>
      <c r="N50" s="108" t="s">
        <v>52</v>
      </c>
      <c r="O50" s="109">
        <f>R45</f>
        <v>0</v>
      </c>
      <c r="P50" s="110"/>
      <c r="Q50" s="111"/>
      <c r="R50" s="112" t="s">
        <v>53</v>
      </c>
      <c r="S50" s="102"/>
      <c r="T50" s="59"/>
      <c r="U50"/>
      <c r="V50" s="60"/>
      <c r="W50" s="64"/>
      <c r="X50" s="108" t="s">
        <v>52</v>
      </c>
      <c r="Y50" s="109">
        <f>AB45</f>
        <v>0</v>
      </c>
      <c r="Z50" s="110"/>
      <c r="AA50" s="111"/>
      <c r="AB50" s="112" t="s">
        <v>53</v>
      </c>
      <c r="AC50" s="102"/>
      <c r="AD50" s="59"/>
      <c r="AE50"/>
      <c r="AF50" s="71"/>
      <c r="AG50" s="72"/>
      <c r="AH50" s="60"/>
      <c r="AI50" s="108"/>
      <c r="AJ50" s="108" t="s">
        <v>52</v>
      </c>
      <c r="AK50" s="109">
        <f>AN45</f>
        <v>0</v>
      </c>
      <c r="AL50" s="110"/>
      <c r="AM50" s="111"/>
      <c r="AN50" s="112" t="s">
        <v>53</v>
      </c>
      <c r="AO50" s="102"/>
      <c r="AP50" s="59"/>
      <c r="AQ50" s="3"/>
    </row>
    <row r="51" spans="2:43" x14ac:dyDescent="0.3">
      <c r="B51" s="60"/>
      <c r="C51" s="64"/>
      <c r="D51" s="73" t="s">
        <v>41</v>
      </c>
      <c r="E51" s="65">
        <f>E49-E50</f>
        <v>0</v>
      </c>
      <c r="F51" s="60"/>
      <c r="G51" s="66"/>
      <c r="H51" s="67" t="s">
        <v>54</v>
      </c>
      <c r="I51" s="102"/>
      <c r="J51" s="59"/>
      <c r="K51"/>
      <c r="L51" s="60"/>
      <c r="M51" s="64"/>
      <c r="N51" s="73" t="s">
        <v>41</v>
      </c>
      <c r="O51" s="65">
        <f>O49-O50</f>
        <v>0</v>
      </c>
      <c r="P51" s="60"/>
      <c r="Q51" s="66"/>
      <c r="R51" s="67" t="s">
        <v>54</v>
      </c>
      <c r="S51" s="102"/>
      <c r="T51" s="59"/>
      <c r="U51"/>
      <c r="V51" s="60"/>
      <c r="W51" s="64"/>
      <c r="X51" s="73" t="s">
        <v>41</v>
      </c>
      <c r="Y51" s="65">
        <f>Y49-Y50</f>
        <v>0</v>
      </c>
      <c r="Z51" s="60"/>
      <c r="AA51" s="66"/>
      <c r="AB51" s="67" t="s">
        <v>54</v>
      </c>
      <c r="AC51" s="102"/>
      <c r="AD51" s="59"/>
      <c r="AE51"/>
      <c r="AF51" s="71"/>
      <c r="AG51" s="72"/>
      <c r="AH51" s="60"/>
      <c r="AI51" s="73"/>
      <c r="AJ51" s="73" t="s">
        <v>41</v>
      </c>
      <c r="AK51" s="65">
        <f>AK49-AK50</f>
        <v>0</v>
      </c>
      <c r="AL51" s="60"/>
      <c r="AM51" s="66"/>
      <c r="AN51" s="67" t="s">
        <v>54</v>
      </c>
      <c r="AO51" s="102"/>
      <c r="AP51" s="59"/>
      <c r="AQ51" s="3"/>
    </row>
    <row r="52" spans="2:43" x14ac:dyDescent="0.3">
      <c r="B52" s="60"/>
      <c r="C52" s="64"/>
      <c r="D52" s="60"/>
      <c r="E52" s="73"/>
      <c r="F52" s="60"/>
      <c r="G52" s="66"/>
      <c r="H52" s="74"/>
      <c r="I52" s="102"/>
      <c r="J52" s="59"/>
      <c r="K52"/>
      <c r="L52" s="60"/>
      <c r="M52" s="64"/>
      <c r="N52" s="60"/>
      <c r="O52" s="73"/>
      <c r="P52" s="60"/>
      <c r="Q52" s="66"/>
      <c r="R52" s="74"/>
      <c r="S52" s="102"/>
      <c r="T52" s="59"/>
      <c r="U52"/>
      <c r="V52" s="60"/>
      <c r="W52" s="64"/>
      <c r="X52" s="60"/>
      <c r="Y52" s="73"/>
      <c r="Z52" s="60"/>
      <c r="AA52" s="66"/>
      <c r="AB52" s="74"/>
      <c r="AC52" s="102"/>
      <c r="AD52" s="59"/>
      <c r="AE52"/>
      <c r="AF52" s="71"/>
      <c r="AG52" s="72"/>
      <c r="AH52" s="60"/>
      <c r="AI52" s="60"/>
      <c r="AJ52" s="60"/>
      <c r="AK52" s="73"/>
      <c r="AL52" s="60"/>
      <c r="AM52" s="66"/>
      <c r="AN52" s="74"/>
      <c r="AO52" s="102"/>
      <c r="AP52" s="59"/>
      <c r="AQ52" s="3"/>
    </row>
    <row r="53" spans="2:43" x14ac:dyDescent="0.3">
      <c r="B53" s="60"/>
      <c r="C53" s="101" t="s">
        <v>40</v>
      </c>
      <c r="D53" s="60" t="s">
        <v>55</v>
      </c>
      <c r="E53" s="73"/>
      <c r="F53" s="60"/>
      <c r="G53" s="66"/>
      <c r="H53" s="74"/>
      <c r="I53" s="102">
        <f>H57</f>
        <v>0</v>
      </c>
      <c r="J53" s="68"/>
      <c r="K53"/>
      <c r="L53" s="60"/>
      <c r="M53" s="101" t="s">
        <v>40</v>
      </c>
      <c r="N53" s="60" t="s">
        <v>55</v>
      </c>
      <c r="O53" s="73"/>
      <c r="P53" s="60"/>
      <c r="Q53" s="66"/>
      <c r="R53" s="74"/>
      <c r="S53" s="102">
        <f>R57</f>
        <v>0</v>
      </c>
      <c r="T53" s="68"/>
      <c r="U53"/>
      <c r="V53" s="60"/>
      <c r="W53" s="101" t="s">
        <v>40</v>
      </c>
      <c r="X53" s="60" t="s">
        <v>55</v>
      </c>
      <c r="Y53" s="73"/>
      <c r="Z53" s="60"/>
      <c r="AA53" s="66"/>
      <c r="AB53" s="74"/>
      <c r="AC53" s="102">
        <f>AB57</f>
        <v>0</v>
      </c>
      <c r="AD53" s="68"/>
      <c r="AE53"/>
      <c r="AF53" s="71"/>
      <c r="AG53" s="72"/>
      <c r="AH53" s="60"/>
      <c r="AI53" s="60"/>
      <c r="AJ53" s="60" t="s">
        <v>55</v>
      </c>
      <c r="AK53" s="73"/>
      <c r="AL53" s="60"/>
      <c r="AM53" s="66"/>
      <c r="AN53" s="74"/>
      <c r="AO53" s="102">
        <f>SUM(AC53,S53,I53)</f>
        <v>0</v>
      </c>
      <c r="AP53" s="68">
        <f>AO53/$AO$32</f>
        <v>0</v>
      </c>
      <c r="AQ53" s="3"/>
    </row>
    <row r="54" spans="2:43" x14ac:dyDescent="0.3">
      <c r="B54" s="60"/>
      <c r="C54" s="103"/>
      <c r="D54" s="73" t="s">
        <v>42</v>
      </c>
      <c r="E54" s="104">
        <f>IF(C54="x",(I24+I40+I30),0)</f>
        <v>0</v>
      </c>
      <c r="F54" s="60"/>
      <c r="G54" s="66"/>
      <c r="H54" s="67" t="s">
        <v>43</v>
      </c>
      <c r="I54" s="113"/>
      <c r="J54" s="59"/>
      <c r="K54"/>
      <c r="L54" s="60"/>
      <c r="M54" s="103"/>
      <c r="N54" s="73" t="s">
        <v>42</v>
      </c>
      <c r="O54" s="104">
        <f>IF(M54="x",(S24+S40+S30),0)</f>
        <v>0</v>
      </c>
      <c r="P54" s="60"/>
      <c r="Q54" s="66"/>
      <c r="R54" s="67" t="s">
        <v>43</v>
      </c>
      <c r="S54" s="113"/>
      <c r="T54" s="59"/>
      <c r="U54"/>
      <c r="V54" s="60"/>
      <c r="W54" s="103"/>
      <c r="X54" s="73" t="s">
        <v>42</v>
      </c>
      <c r="Y54" s="104">
        <f>IF(W54="x",(AC24+AC40+AC30),0)</f>
        <v>0</v>
      </c>
      <c r="Z54" s="60"/>
      <c r="AA54" s="66"/>
      <c r="AB54" s="67" t="s">
        <v>43</v>
      </c>
      <c r="AC54" s="113"/>
      <c r="AD54" s="59"/>
      <c r="AE54"/>
      <c r="AF54" s="71"/>
      <c r="AG54" s="72"/>
      <c r="AH54" s="60"/>
      <c r="AI54" s="73"/>
      <c r="AJ54" s="73" t="s">
        <v>42</v>
      </c>
      <c r="AK54" s="104">
        <f>SUM(Y54,O54,E54)</f>
        <v>0</v>
      </c>
      <c r="AL54" s="60"/>
      <c r="AM54" s="66"/>
      <c r="AN54" s="67" t="s">
        <v>43</v>
      </c>
      <c r="AO54" s="102"/>
      <c r="AP54" s="59"/>
      <c r="AQ54" s="3"/>
    </row>
    <row r="55" spans="2:43" x14ac:dyDescent="0.3">
      <c r="B55" s="60"/>
      <c r="C55" s="64"/>
      <c r="D55" s="73" t="s">
        <v>56</v>
      </c>
      <c r="E55" s="73"/>
      <c r="F55" s="303">
        <v>0.17</v>
      </c>
      <c r="G55" s="303"/>
      <c r="H55" s="106">
        <f>E54*F55</f>
        <v>0</v>
      </c>
      <c r="I55" s="61"/>
      <c r="J55" s="59"/>
      <c r="K55"/>
      <c r="L55" s="60"/>
      <c r="M55" s="64"/>
      <c r="N55" s="73" t="s">
        <v>56</v>
      </c>
      <c r="O55" s="73"/>
      <c r="P55" s="303">
        <v>0.17</v>
      </c>
      <c r="Q55" s="303"/>
      <c r="R55" s="106">
        <f>O54*P55</f>
        <v>0</v>
      </c>
      <c r="S55" s="61"/>
      <c r="T55" s="59"/>
      <c r="U55"/>
      <c r="V55" s="60"/>
      <c r="W55" s="64"/>
      <c r="X55" s="73" t="s">
        <v>56</v>
      </c>
      <c r="Y55" s="73"/>
      <c r="Z55" s="303">
        <v>0.17</v>
      </c>
      <c r="AA55" s="303"/>
      <c r="AB55" s="106">
        <f>Y54*Z55</f>
        <v>0</v>
      </c>
      <c r="AC55" s="61"/>
      <c r="AD55" s="59"/>
      <c r="AE55"/>
      <c r="AF55" s="71"/>
      <c r="AG55" s="72"/>
      <c r="AH55" s="60"/>
      <c r="AI55" s="73"/>
      <c r="AJ55" s="73" t="s">
        <v>56</v>
      </c>
      <c r="AK55" s="73"/>
      <c r="AL55" s="303">
        <v>0.17</v>
      </c>
      <c r="AM55" s="303"/>
      <c r="AN55" s="106">
        <f>AK54*AL55</f>
        <v>0</v>
      </c>
      <c r="AO55" s="61"/>
      <c r="AP55" s="59"/>
      <c r="AQ55" s="3"/>
    </row>
    <row r="56" spans="2:43" x14ac:dyDescent="0.3">
      <c r="B56" s="60"/>
      <c r="C56" s="64"/>
      <c r="D56" s="73" t="s">
        <v>57</v>
      </c>
      <c r="E56" s="108"/>
      <c r="F56" s="305">
        <v>0.12</v>
      </c>
      <c r="G56" s="305"/>
      <c r="H56" s="114">
        <f>E54*F56</f>
        <v>0</v>
      </c>
      <c r="I56" s="61"/>
      <c r="J56" s="59"/>
      <c r="K56"/>
      <c r="L56" s="60"/>
      <c r="M56" s="64"/>
      <c r="N56" s="73" t="s">
        <v>57</v>
      </c>
      <c r="O56" s="108"/>
      <c r="P56" s="305">
        <v>0.12</v>
      </c>
      <c r="Q56" s="305"/>
      <c r="R56" s="114">
        <f>O54*P56</f>
        <v>0</v>
      </c>
      <c r="S56" s="61"/>
      <c r="T56" s="59"/>
      <c r="U56"/>
      <c r="V56" s="60"/>
      <c r="W56" s="64"/>
      <c r="X56" s="73" t="s">
        <v>57</v>
      </c>
      <c r="Y56" s="108"/>
      <c r="Z56" s="305">
        <v>0.12</v>
      </c>
      <c r="AA56" s="305"/>
      <c r="AB56" s="114">
        <f>Y54*Z56</f>
        <v>0</v>
      </c>
      <c r="AC56" s="61"/>
      <c r="AD56" s="59"/>
      <c r="AE56"/>
      <c r="AF56" s="71"/>
      <c r="AG56" s="72"/>
      <c r="AH56" s="60"/>
      <c r="AI56" s="73"/>
      <c r="AJ56" s="73" t="s">
        <v>57</v>
      </c>
      <c r="AK56" s="108"/>
      <c r="AL56" s="305">
        <v>0.12</v>
      </c>
      <c r="AM56" s="305"/>
      <c r="AN56" s="114">
        <f>AK54*AL56</f>
        <v>0</v>
      </c>
      <c r="AO56" s="61"/>
      <c r="AP56" s="59"/>
      <c r="AQ56" s="3"/>
    </row>
    <row r="57" spans="2:43" x14ac:dyDescent="0.3">
      <c r="B57" s="60"/>
      <c r="C57" s="64"/>
      <c r="D57" s="73" t="s">
        <v>58</v>
      </c>
      <c r="E57" s="115"/>
      <c r="F57" s="116"/>
      <c r="G57" s="116"/>
      <c r="H57" s="106">
        <f>H55-H56</f>
        <v>0</v>
      </c>
      <c r="I57" s="61"/>
      <c r="J57" s="59"/>
      <c r="K57"/>
      <c r="L57" s="60"/>
      <c r="M57" s="64"/>
      <c r="N57" s="73" t="s">
        <v>58</v>
      </c>
      <c r="O57" s="115"/>
      <c r="P57" s="116"/>
      <c r="Q57" s="116"/>
      <c r="R57" s="106">
        <f>R55-R56</f>
        <v>0</v>
      </c>
      <c r="S57" s="61"/>
      <c r="T57" s="59"/>
      <c r="U57"/>
      <c r="V57" s="60"/>
      <c r="W57" s="64"/>
      <c r="X57" s="73" t="s">
        <v>58</v>
      </c>
      <c r="Y57" s="115"/>
      <c r="Z57" s="116"/>
      <c r="AA57" s="116"/>
      <c r="AB57" s="106">
        <f>AB55-AB56</f>
        <v>0</v>
      </c>
      <c r="AC57" s="61"/>
      <c r="AD57" s="59"/>
      <c r="AE57"/>
      <c r="AF57" s="71"/>
      <c r="AG57" s="72"/>
      <c r="AH57" s="60"/>
      <c r="AI57" s="73"/>
      <c r="AJ57" s="73" t="s">
        <v>58</v>
      </c>
      <c r="AK57" s="115"/>
      <c r="AL57" s="116"/>
      <c r="AM57" s="116"/>
      <c r="AN57" s="106">
        <f>AN55-AN56</f>
        <v>0</v>
      </c>
      <c r="AO57" s="61"/>
      <c r="AP57" s="59"/>
      <c r="AQ57" s="3"/>
    </row>
    <row r="58" spans="2:43" x14ac:dyDescent="0.3">
      <c r="B58" s="60"/>
      <c r="C58" s="64"/>
      <c r="D58" s="73"/>
      <c r="E58" s="115"/>
      <c r="F58" s="116"/>
      <c r="G58" s="116"/>
      <c r="H58" s="106"/>
      <c r="I58" s="61"/>
      <c r="J58" s="59"/>
      <c r="K58"/>
      <c r="L58" s="60"/>
      <c r="M58" s="64"/>
      <c r="N58" s="73"/>
      <c r="O58" s="115"/>
      <c r="P58" s="116"/>
      <c r="Q58" s="116"/>
      <c r="R58" s="106"/>
      <c r="S58" s="61"/>
      <c r="T58" s="59"/>
      <c r="U58"/>
      <c r="V58" s="60"/>
      <c r="W58" s="64"/>
      <c r="X58" s="73"/>
      <c r="Y58" s="115"/>
      <c r="Z58" s="116"/>
      <c r="AA58" s="116"/>
      <c r="AB58" s="106"/>
      <c r="AC58" s="61"/>
      <c r="AD58" s="59"/>
      <c r="AE58"/>
      <c r="AF58" s="71"/>
      <c r="AG58" s="72"/>
      <c r="AH58" s="60"/>
      <c r="AI58" s="73"/>
      <c r="AJ58" s="73"/>
      <c r="AK58" s="115"/>
      <c r="AL58" s="116"/>
      <c r="AM58" s="116"/>
      <c r="AN58" s="106"/>
      <c r="AO58" s="61"/>
      <c r="AP58" s="59"/>
      <c r="AQ58" s="3"/>
    </row>
    <row r="59" spans="2:43" x14ac:dyDescent="0.3">
      <c r="B59" s="117"/>
      <c r="C59" s="118"/>
      <c r="D59" s="119" t="s">
        <v>59</v>
      </c>
      <c r="E59" s="120">
        <f>((I30+I40)*C18)</f>
        <v>374.06319966583129</v>
      </c>
      <c r="F59" s="121"/>
      <c r="G59" s="122"/>
      <c r="H59" s="123" t="s">
        <v>60</v>
      </c>
      <c r="L59" s="117"/>
      <c r="M59" s="118"/>
      <c r="N59" s="119" t="s">
        <v>59</v>
      </c>
      <c r="O59" s="124"/>
      <c r="P59" s="121"/>
      <c r="Q59" s="122"/>
      <c r="R59" s="123" t="s">
        <v>60</v>
      </c>
      <c r="S59" s="120">
        <f>((S30+S40)*M18)</f>
        <v>0</v>
      </c>
      <c r="V59" s="117"/>
      <c r="W59" s="118"/>
      <c r="X59" s="119" t="s">
        <v>59</v>
      </c>
      <c r="Y59" s="124"/>
      <c r="Z59" s="121"/>
      <c r="AA59" s="122"/>
      <c r="AB59" s="123" t="s">
        <v>60</v>
      </c>
      <c r="AC59" s="120">
        <f>((AC30+AC40)*W18)</f>
        <v>0</v>
      </c>
      <c r="AH59" s="117"/>
      <c r="AI59" s="118"/>
      <c r="AJ59" s="119" t="s">
        <v>59</v>
      </c>
      <c r="AK59" s="121"/>
      <c r="AL59" s="121"/>
      <c r="AM59" s="122"/>
      <c r="AN59" s="123" t="s">
        <v>60</v>
      </c>
      <c r="AO59" s="120">
        <f>SUM(AC59,S59,I59)</f>
        <v>0</v>
      </c>
      <c r="AP59" s="20"/>
    </row>
    <row r="60" spans="2:43" x14ac:dyDescent="0.3">
      <c r="B60" s="60"/>
      <c r="C60" s="75"/>
      <c r="D60" s="60"/>
      <c r="E60" s="73"/>
      <c r="F60" s="60"/>
      <c r="G60" s="66"/>
      <c r="H60" s="67"/>
      <c r="I60" s="61"/>
      <c r="K60" s="125"/>
      <c r="L60" s="60"/>
      <c r="M60" s="75"/>
      <c r="N60" s="60"/>
      <c r="O60" s="73"/>
      <c r="P60" s="60"/>
      <c r="Q60" s="66"/>
      <c r="R60" s="67"/>
      <c r="S60" s="61"/>
      <c r="V60" s="60"/>
      <c r="W60" s="75"/>
      <c r="X60" s="60"/>
      <c r="Y60" s="73"/>
      <c r="Z60" s="60"/>
      <c r="AA60" s="66"/>
      <c r="AB60" s="67"/>
      <c r="AC60" s="61"/>
      <c r="AH60" s="60"/>
      <c r="AI60" s="75"/>
      <c r="AJ60" s="60"/>
      <c r="AK60" s="60"/>
      <c r="AL60" s="60"/>
      <c r="AM60" s="66"/>
      <c r="AN60" s="67"/>
      <c r="AO60" s="61"/>
      <c r="AP60" s="20"/>
    </row>
    <row r="61" spans="2:43" x14ac:dyDescent="0.3">
      <c r="B61" s="60"/>
      <c r="C61" s="75"/>
      <c r="D61" s="60"/>
      <c r="E61" s="73"/>
      <c r="F61" s="60"/>
      <c r="G61" s="66"/>
      <c r="H61" s="126" t="s">
        <v>61</v>
      </c>
      <c r="I61" s="61">
        <f>SUM(I42:I59)</f>
        <v>0</v>
      </c>
      <c r="L61" s="60"/>
      <c r="M61" s="75"/>
      <c r="N61" s="60"/>
      <c r="O61" s="73"/>
      <c r="P61" s="60"/>
      <c r="Q61" s="66"/>
      <c r="R61" s="126" t="s">
        <v>61</v>
      </c>
      <c r="S61" s="61">
        <f>SUM(S42:S59)</f>
        <v>0</v>
      </c>
      <c r="V61" s="60"/>
      <c r="W61" s="75"/>
      <c r="X61" s="60"/>
      <c r="Y61" s="73"/>
      <c r="Z61" s="60"/>
      <c r="AA61" s="66"/>
      <c r="AB61" s="126" t="s">
        <v>61</v>
      </c>
      <c r="AC61" s="61">
        <f>SUM(AC42:AC59)</f>
        <v>0</v>
      </c>
      <c r="AH61" s="60"/>
      <c r="AI61" s="75"/>
      <c r="AJ61" s="60"/>
      <c r="AK61" s="60"/>
      <c r="AL61" s="60"/>
      <c r="AM61" s="66"/>
      <c r="AN61" s="126" t="s">
        <v>61</v>
      </c>
      <c r="AO61" s="61">
        <f>SUM(AO42:AO59)</f>
        <v>0</v>
      </c>
      <c r="AP61" s="20"/>
    </row>
    <row r="62" spans="2:43" x14ac:dyDescent="0.3">
      <c r="C62" s="58"/>
      <c r="I62" s="41"/>
      <c r="M62" s="58"/>
      <c r="S62" s="41"/>
      <c r="W62" s="58"/>
      <c r="AC62" s="41"/>
      <c r="AH62"/>
      <c r="AI62" s="58"/>
      <c r="AJ62"/>
      <c r="AK62"/>
      <c r="AL62"/>
      <c r="AM62" s="20"/>
      <c r="AN62" s="40"/>
      <c r="AO62" s="41"/>
      <c r="AP62" s="20"/>
    </row>
    <row r="63" spans="2:43" ht="19.2" x14ac:dyDescent="0.45">
      <c r="B63" s="127"/>
      <c r="C63" s="128"/>
      <c r="D63" s="129" t="s">
        <v>62</v>
      </c>
      <c r="E63" s="130"/>
      <c r="F63" s="129"/>
      <c r="G63" s="131"/>
      <c r="H63" s="132"/>
      <c r="I63" s="133">
        <f>I34+I40+I61</f>
        <v>22369.43088972431</v>
      </c>
      <c r="J63" s="125"/>
      <c r="K63" s="134"/>
      <c r="L63" s="127"/>
      <c r="M63" s="128"/>
      <c r="N63" s="129" t="s">
        <v>63</v>
      </c>
      <c r="O63" s="130"/>
      <c r="P63" s="129"/>
      <c r="Q63" s="131"/>
      <c r="R63" s="132"/>
      <c r="S63" s="133">
        <f>S34+S40+S61</f>
        <v>0</v>
      </c>
      <c r="T63" s="125"/>
      <c r="U63" s="135"/>
      <c r="V63" s="127"/>
      <c r="W63" s="128"/>
      <c r="X63" s="129" t="s">
        <v>63</v>
      </c>
      <c r="Y63" s="130"/>
      <c r="Z63" s="129"/>
      <c r="AA63" s="131"/>
      <c r="AB63" s="132"/>
      <c r="AC63" s="133">
        <f>AC34+AC40+AC61</f>
        <v>0</v>
      </c>
      <c r="AD63" s="125"/>
      <c r="AE63" s="135"/>
      <c r="AF63" s="136"/>
      <c r="AG63" s="40"/>
      <c r="AH63"/>
      <c r="AI63" s="128"/>
      <c r="AJ63" s="129" t="s">
        <v>63</v>
      </c>
      <c r="AK63" s="129"/>
      <c r="AL63" s="129"/>
      <c r="AM63" s="131"/>
      <c r="AN63" s="137"/>
      <c r="AO63" s="133">
        <f>AO34+AO40+AO61</f>
        <v>22369.43088972431</v>
      </c>
      <c r="AP63" s="20"/>
    </row>
    <row r="64" spans="2:43" ht="19.2" x14ac:dyDescent="0.45">
      <c r="C64" s="58"/>
      <c r="D64" s="135"/>
      <c r="E64" s="138"/>
      <c r="F64" s="135"/>
      <c r="G64" s="139"/>
      <c r="H64" s="140"/>
      <c r="I64" s="141"/>
      <c r="J64" s="125"/>
      <c r="K64" s="135"/>
      <c r="M64" s="58"/>
      <c r="N64" s="135"/>
      <c r="O64" s="138"/>
      <c r="P64" s="135"/>
      <c r="Q64" s="139"/>
      <c r="R64" s="140"/>
      <c r="S64" s="141"/>
      <c r="T64" s="125"/>
      <c r="U64" s="135"/>
      <c r="W64" s="58"/>
      <c r="X64" s="135"/>
      <c r="Y64" s="138"/>
      <c r="Z64" s="135"/>
      <c r="AA64" s="139"/>
      <c r="AB64" s="140"/>
      <c r="AC64" s="141"/>
      <c r="AD64" s="125"/>
      <c r="AE64" s="135"/>
      <c r="AF64" s="136"/>
      <c r="AG64" s="40"/>
      <c r="AH64"/>
      <c r="AI64" s="58"/>
      <c r="AJ64" s="135"/>
      <c r="AK64" s="135"/>
      <c r="AL64" s="135"/>
      <c r="AM64" s="139"/>
      <c r="AN64" s="142"/>
      <c r="AO64" s="141"/>
      <c r="AP64" s="20"/>
    </row>
    <row r="65" spans="1:42" ht="19.2" x14ac:dyDescent="0.45">
      <c r="C65"/>
      <c r="E65"/>
      <c r="G65"/>
      <c r="H65"/>
      <c r="I65"/>
      <c r="J65"/>
      <c r="K65"/>
      <c r="M65"/>
      <c r="O65"/>
      <c r="Q65"/>
      <c r="R65"/>
      <c r="S65"/>
      <c r="T65"/>
      <c r="U65"/>
      <c r="W65"/>
      <c r="Y65"/>
      <c r="AA65"/>
      <c r="AB65"/>
      <c r="AC65"/>
      <c r="AD65"/>
      <c r="AE65" s="135"/>
      <c r="AF65" s="136"/>
      <c r="AG65" s="40"/>
      <c r="AH65" s="143"/>
      <c r="AI65" s="144" t="s">
        <v>64</v>
      </c>
      <c r="AJ65" s="145"/>
      <c r="AK65" s="146"/>
      <c r="AL65" s="145"/>
      <c r="AM65" s="147"/>
      <c r="AN65" s="148"/>
      <c r="AO65" s="149"/>
      <c r="AP65" s="20"/>
    </row>
    <row r="66" spans="1:42" ht="19.2" x14ac:dyDescent="0.45">
      <c r="C66"/>
      <c r="E66"/>
      <c r="G66"/>
      <c r="H66"/>
      <c r="I66"/>
      <c r="J66"/>
      <c r="K66"/>
      <c r="M66"/>
      <c r="O66"/>
      <c r="Q66"/>
      <c r="R66"/>
      <c r="S66"/>
      <c r="T66"/>
      <c r="U66"/>
      <c r="W66"/>
      <c r="Y66"/>
      <c r="AA66"/>
      <c r="AB66"/>
      <c r="AC66"/>
      <c r="AD66"/>
      <c r="AE66" s="135"/>
      <c r="AF66" s="136"/>
      <c r="AG66" s="40"/>
      <c r="AH66" s="143"/>
      <c r="AI66" s="150" t="s">
        <v>65</v>
      </c>
      <c r="AJ66" s="145"/>
      <c r="AK66" s="146"/>
      <c r="AL66" s="145"/>
      <c r="AM66" s="147"/>
      <c r="AN66" s="148"/>
      <c r="AO66" s="149">
        <v>10000</v>
      </c>
      <c r="AP66" s="20"/>
    </row>
    <row r="67" spans="1:42" ht="19.2" x14ac:dyDescent="0.45">
      <c r="C67"/>
      <c r="E67"/>
      <c r="G67"/>
      <c r="H67"/>
      <c r="I67"/>
      <c r="J67"/>
      <c r="K67"/>
      <c r="M67"/>
      <c r="O67"/>
      <c r="Q67"/>
      <c r="R67"/>
      <c r="S67"/>
      <c r="T67"/>
      <c r="U67"/>
      <c r="W67"/>
      <c r="Y67"/>
      <c r="AA67"/>
      <c r="AB67"/>
      <c r="AC67"/>
      <c r="AD67"/>
      <c r="AE67" s="135"/>
      <c r="AF67" s="136"/>
      <c r="AG67" s="40"/>
      <c r="AH67" s="143"/>
      <c r="AI67" s="150" t="s">
        <v>66</v>
      </c>
      <c r="AJ67" s="145"/>
      <c r="AK67" s="146"/>
      <c r="AL67" s="145"/>
      <c r="AM67" s="147"/>
      <c r="AN67" s="148"/>
      <c r="AO67" s="149">
        <v>0</v>
      </c>
      <c r="AP67" s="20"/>
    </row>
    <row r="68" spans="1:42" ht="19.2" x14ac:dyDescent="0.45">
      <c r="C68"/>
      <c r="E68"/>
      <c r="G68"/>
      <c r="H68"/>
      <c r="I68"/>
      <c r="J68"/>
      <c r="K68"/>
      <c r="M68"/>
      <c r="O68"/>
      <c r="Q68"/>
      <c r="R68"/>
      <c r="S68"/>
      <c r="T68"/>
      <c r="U68"/>
      <c r="W68"/>
      <c r="Y68"/>
      <c r="AA68"/>
      <c r="AB68"/>
      <c r="AC68"/>
      <c r="AD68"/>
      <c r="AE68" s="135"/>
      <c r="AF68" s="136"/>
      <c r="AG68" s="40"/>
      <c r="AH68"/>
      <c r="AI68" s="2"/>
      <c r="AJ68" s="135"/>
      <c r="AK68" s="138"/>
      <c r="AL68" s="135"/>
      <c r="AM68" s="139"/>
      <c r="AN68" s="140"/>
      <c r="AO68" s="151"/>
      <c r="AP68" s="20"/>
    </row>
    <row r="69" spans="1:42" ht="19.2" x14ac:dyDescent="0.45">
      <c r="C69"/>
      <c r="E69"/>
      <c r="G69"/>
      <c r="H69"/>
      <c r="I69"/>
      <c r="J69"/>
      <c r="K69"/>
      <c r="M69"/>
      <c r="O69"/>
      <c r="Q69"/>
      <c r="R69"/>
      <c r="S69"/>
      <c r="T69"/>
      <c r="U69"/>
      <c r="W69"/>
      <c r="Y69"/>
      <c r="AA69"/>
      <c r="AB69"/>
      <c r="AC69"/>
      <c r="AD69"/>
      <c r="AE69" s="135"/>
      <c r="AF69" s="136"/>
      <c r="AG69" s="40"/>
      <c r="AH69" s="129"/>
      <c r="AI69" s="152"/>
      <c r="AJ69" s="129"/>
      <c r="AK69" s="130"/>
      <c r="AL69" s="129"/>
      <c r="AM69" s="131"/>
      <c r="AN69" s="132"/>
      <c r="AO69" s="153">
        <f>SUM(AO63,AO66,AO67)</f>
        <v>32369.43088972431</v>
      </c>
      <c r="AP69" s="20"/>
    </row>
    <row r="70" spans="1:42" ht="19.2" x14ac:dyDescent="0.45">
      <c r="D70" s="135"/>
      <c r="E70" s="138"/>
      <c r="F70" s="135"/>
      <c r="G70" s="139"/>
      <c r="H70" s="140"/>
      <c r="I70" s="151"/>
      <c r="J70" s="125"/>
      <c r="K70" s="135"/>
      <c r="N70" s="135"/>
      <c r="O70" s="138"/>
      <c r="P70" s="135"/>
      <c r="Q70" s="139"/>
      <c r="R70" s="140"/>
      <c r="S70" s="151"/>
      <c r="T70" s="125"/>
      <c r="U70" s="135"/>
      <c r="X70" s="135"/>
      <c r="Y70" s="138"/>
      <c r="Z70" s="135"/>
      <c r="AA70" s="139"/>
      <c r="AB70" s="140"/>
      <c r="AC70" s="151"/>
      <c r="AD70" s="125"/>
      <c r="AE70" s="135"/>
      <c r="AF70" s="136"/>
      <c r="AG70" s="40"/>
      <c r="AH70"/>
      <c r="AI70" s="2"/>
      <c r="AJ70" s="135"/>
      <c r="AK70" s="135"/>
      <c r="AL70" s="135"/>
      <c r="AM70" s="139"/>
      <c r="AN70" s="142"/>
      <c r="AO70" s="151"/>
      <c r="AP70" s="20"/>
    </row>
    <row r="71" spans="1:42" s="158" customFormat="1" x14ac:dyDescent="0.3">
      <c r="B71" s="306" t="s">
        <v>67</v>
      </c>
      <c r="C71" s="306"/>
      <c r="D71" s="306"/>
      <c r="E71" s="306"/>
      <c r="F71" s="306"/>
      <c r="G71" s="306"/>
      <c r="H71" s="306"/>
      <c r="I71" s="306"/>
      <c r="J71" s="154"/>
      <c r="K71" s="155"/>
      <c r="L71" s="306" t="s">
        <v>67</v>
      </c>
      <c r="M71" s="306"/>
      <c r="N71" s="306"/>
      <c r="O71" s="306"/>
      <c r="P71" s="306"/>
      <c r="Q71" s="306"/>
      <c r="R71" s="306"/>
      <c r="S71" s="306"/>
      <c r="T71" s="154"/>
      <c r="U71" s="155"/>
      <c r="V71" s="306" t="s">
        <v>67</v>
      </c>
      <c r="W71" s="306"/>
      <c r="X71" s="306"/>
      <c r="Y71" s="306"/>
      <c r="Z71" s="306"/>
      <c r="AA71" s="306"/>
      <c r="AB71" s="306"/>
      <c r="AC71" s="306"/>
      <c r="AD71" s="154"/>
      <c r="AE71" s="155"/>
      <c r="AF71" s="156"/>
      <c r="AG71" s="156"/>
      <c r="AH71" s="306" t="s">
        <v>67</v>
      </c>
      <c r="AI71" s="306"/>
      <c r="AJ71" s="306"/>
      <c r="AK71" s="306"/>
      <c r="AL71" s="306"/>
      <c r="AM71" s="306"/>
      <c r="AN71" s="306"/>
      <c r="AO71" s="306"/>
      <c r="AP71" s="157"/>
    </row>
    <row r="72" spans="1:42" s="158" customFormat="1" x14ac:dyDescent="0.3">
      <c r="B72" s="306"/>
      <c r="C72" s="306"/>
      <c r="D72" s="306"/>
      <c r="E72" s="306"/>
      <c r="F72" s="306"/>
      <c r="G72" s="306"/>
      <c r="H72" s="306"/>
      <c r="I72" s="306"/>
      <c r="J72" s="154"/>
      <c r="K72" s="155"/>
      <c r="L72" s="306"/>
      <c r="M72" s="306"/>
      <c r="N72" s="306"/>
      <c r="O72" s="306"/>
      <c r="P72" s="306"/>
      <c r="Q72" s="306"/>
      <c r="R72" s="306"/>
      <c r="S72" s="306"/>
      <c r="T72" s="154"/>
      <c r="U72" s="155"/>
      <c r="V72" s="306"/>
      <c r="W72" s="306"/>
      <c r="X72" s="306"/>
      <c r="Y72" s="306"/>
      <c r="Z72" s="306"/>
      <c r="AA72" s="306"/>
      <c r="AB72" s="306"/>
      <c r="AC72" s="306"/>
      <c r="AD72" s="154"/>
      <c r="AE72" s="155"/>
      <c r="AF72" s="156"/>
      <c r="AG72" s="156"/>
      <c r="AH72" s="306"/>
      <c r="AI72" s="306"/>
      <c r="AJ72" s="306"/>
      <c r="AK72" s="306"/>
      <c r="AL72" s="306"/>
      <c r="AM72" s="306"/>
      <c r="AN72" s="306"/>
      <c r="AO72" s="306"/>
      <c r="AP72" s="157"/>
    </row>
    <row r="73" spans="1:42" x14ac:dyDescent="0.3">
      <c r="A73" s="314"/>
      <c r="B73" s="314"/>
      <c r="C73" s="315"/>
      <c r="D73" s="314"/>
      <c r="E73" s="316"/>
      <c r="F73" s="314"/>
      <c r="G73" s="317"/>
      <c r="H73" s="318"/>
      <c r="I73" s="319"/>
      <c r="J73" s="317"/>
      <c r="K73" s="314"/>
      <c r="L73" s="314"/>
      <c r="M73" s="315"/>
      <c r="N73" s="314"/>
      <c r="O73" s="316"/>
      <c r="P73" s="314"/>
      <c r="Q73" s="317"/>
      <c r="R73" s="318"/>
      <c r="S73" s="319"/>
      <c r="T73" s="317"/>
      <c r="U73" s="314"/>
      <c r="V73" s="314"/>
      <c r="W73" s="315"/>
      <c r="X73" s="314"/>
      <c r="Y73" s="316"/>
      <c r="Z73" s="314"/>
      <c r="AA73" s="317"/>
      <c r="AB73" s="318"/>
      <c r="AC73" s="319"/>
      <c r="AD73" s="317"/>
      <c r="AE73" s="314"/>
      <c r="AF73" s="136"/>
      <c r="AG73" s="40"/>
      <c r="AH73"/>
      <c r="AI73" s="58"/>
      <c r="AJ73"/>
      <c r="AK73"/>
      <c r="AL73"/>
      <c r="AM73" s="20"/>
      <c r="AN73" s="40"/>
      <c r="AO73" s="41"/>
      <c r="AP73" s="20"/>
    </row>
    <row r="74" spans="1:42" ht="16.8" x14ac:dyDescent="0.4">
      <c r="A74" s="314"/>
      <c r="B74" s="314"/>
      <c r="C74" s="317"/>
      <c r="D74" s="320"/>
      <c r="E74" s="320"/>
      <c r="F74" s="320"/>
      <c r="G74" s="321"/>
      <c r="H74" s="322"/>
      <c r="I74" s="323"/>
      <c r="J74" s="324"/>
      <c r="K74" s="320"/>
      <c r="L74" s="314"/>
      <c r="M74" s="317"/>
      <c r="N74" s="320"/>
      <c r="O74" s="320"/>
      <c r="P74" s="320"/>
      <c r="Q74" s="321"/>
      <c r="R74" s="322"/>
      <c r="S74" s="323"/>
      <c r="T74" s="324"/>
      <c r="U74" s="320"/>
      <c r="V74" s="314"/>
      <c r="W74" s="317"/>
      <c r="X74" s="320"/>
      <c r="Y74" s="320"/>
      <c r="Z74" s="320"/>
      <c r="AA74" s="321"/>
      <c r="AB74" s="322"/>
      <c r="AC74" s="323"/>
      <c r="AD74" s="324"/>
      <c r="AE74" s="320"/>
      <c r="AF74" s="136"/>
      <c r="AG74" s="40"/>
      <c r="AH74"/>
      <c r="AI74" s="159"/>
      <c r="AJ74" s="129" t="s">
        <v>63</v>
      </c>
      <c r="AK74" s="129"/>
      <c r="AL74" s="129"/>
      <c r="AM74" s="131"/>
      <c r="AN74" s="137"/>
      <c r="AO74" s="160">
        <f>AO69</f>
        <v>32369.43088972431</v>
      </c>
      <c r="AP74" s="20"/>
    </row>
    <row r="75" spans="1:42" ht="14.4" customHeight="1" x14ac:dyDescent="0.3">
      <c r="A75" s="314"/>
      <c r="B75" s="393"/>
      <c r="C75" s="325"/>
      <c r="D75" s="320"/>
      <c r="E75" s="326"/>
      <c r="F75" s="320"/>
      <c r="G75" s="321"/>
      <c r="H75" s="322"/>
      <c r="I75" s="327"/>
      <c r="J75" s="317"/>
      <c r="K75" s="320"/>
      <c r="L75" s="393"/>
      <c r="M75" s="325"/>
      <c r="N75" s="320"/>
      <c r="O75" s="326"/>
      <c r="P75" s="320"/>
      <c r="Q75" s="321"/>
      <c r="R75" s="328"/>
      <c r="S75" s="327"/>
      <c r="T75" s="317"/>
      <c r="U75" s="320"/>
      <c r="V75" s="393"/>
      <c r="W75" s="325"/>
      <c r="X75" s="320"/>
      <c r="Y75" s="326"/>
      <c r="Z75" s="320"/>
      <c r="AA75" s="321"/>
      <c r="AB75" s="328"/>
      <c r="AC75" s="327"/>
      <c r="AD75" s="317"/>
      <c r="AE75" s="320"/>
      <c r="AF75" s="136"/>
      <c r="AG75" s="40"/>
      <c r="AH75" s="307" t="s">
        <v>68</v>
      </c>
      <c r="AI75" s="161" t="s">
        <v>69</v>
      </c>
      <c r="AJ75" s="162" t="s">
        <v>70</v>
      </c>
      <c r="AK75" s="162"/>
      <c r="AL75" s="162"/>
      <c r="AM75" s="163"/>
      <c r="AN75" s="165"/>
      <c r="AO75" s="164">
        <v>0.05</v>
      </c>
      <c r="AP75" s="20"/>
    </row>
    <row r="76" spans="1:42" x14ac:dyDescent="0.3">
      <c r="A76" s="314"/>
      <c r="B76" s="393"/>
      <c r="C76" s="315"/>
      <c r="D76" s="314"/>
      <c r="E76" s="316"/>
      <c r="F76" s="314"/>
      <c r="G76" s="317"/>
      <c r="H76" s="318"/>
      <c r="I76" s="319"/>
      <c r="J76" s="317"/>
      <c r="K76" s="314"/>
      <c r="L76" s="393"/>
      <c r="M76" s="315"/>
      <c r="N76" s="314"/>
      <c r="O76" s="316"/>
      <c r="P76" s="314"/>
      <c r="Q76" s="317"/>
      <c r="R76" s="318"/>
      <c r="S76" s="319"/>
      <c r="T76" s="317"/>
      <c r="U76" s="314"/>
      <c r="V76" s="393"/>
      <c r="W76" s="315"/>
      <c r="X76" s="314"/>
      <c r="Y76" s="316"/>
      <c r="Z76" s="314"/>
      <c r="AA76" s="317"/>
      <c r="AB76" s="318"/>
      <c r="AC76" s="319"/>
      <c r="AD76" s="317"/>
      <c r="AE76" s="314"/>
      <c r="AF76" s="136"/>
      <c r="AG76" s="40"/>
      <c r="AH76" s="308"/>
      <c r="AI76" s="58"/>
      <c r="AJ76"/>
      <c r="AK76"/>
      <c r="AL76"/>
      <c r="AM76" s="20"/>
      <c r="AN76" s="40"/>
      <c r="AO76" s="41"/>
      <c r="AP76" s="20"/>
    </row>
    <row r="77" spans="1:42" s="172" customFormat="1" ht="22.8" customHeight="1" x14ac:dyDescent="0.3">
      <c r="A77" s="329"/>
      <c r="B77" s="393"/>
      <c r="C77" s="330"/>
      <c r="D77" s="331"/>
      <c r="E77" s="331"/>
      <c r="F77" s="331"/>
      <c r="G77" s="332"/>
      <c r="H77" s="333"/>
      <c r="I77" s="334"/>
      <c r="J77" s="330"/>
      <c r="K77" s="329"/>
      <c r="L77" s="393"/>
      <c r="M77" s="330"/>
      <c r="N77" s="331"/>
      <c r="O77" s="331"/>
      <c r="P77" s="331"/>
      <c r="Q77" s="332"/>
      <c r="R77" s="333"/>
      <c r="S77" s="334"/>
      <c r="T77" s="330"/>
      <c r="U77" s="329"/>
      <c r="V77" s="393"/>
      <c r="W77" s="330"/>
      <c r="X77" s="331"/>
      <c r="Y77" s="331"/>
      <c r="Z77" s="331"/>
      <c r="AA77" s="332"/>
      <c r="AB77" s="333"/>
      <c r="AC77" s="334"/>
      <c r="AD77" s="330"/>
      <c r="AE77" s="329"/>
      <c r="AF77" s="173"/>
      <c r="AG77" s="174"/>
      <c r="AH77" s="308"/>
      <c r="AI77" s="166"/>
      <c r="AJ77" s="167" t="s">
        <v>71</v>
      </c>
      <c r="AK77" s="167"/>
      <c r="AL77" s="167"/>
      <c r="AM77" s="168"/>
      <c r="AN77" s="169"/>
      <c r="AO77" s="170">
        <f>AO74-AO74*AO75</f>
        <v>30750.959345238094</v>
      </c>
      <c r="AP77" s="171"/>
    </row>
    <row r="78" spans="1:42" x14ac:dyDescent="0.3">
      <c r="A78" s="314"/>
      <c r="B78" s="393"/>
      <c r="C78" s="315"/>
      <c r="D78" s="314"/>
      <c r="E78" s="316"/>
      <c r="F78" s="314"/>
      <c r="G78" s="317"/>
      <c r="H78" s="318"/>
      <c r="I78" s="319"/>
      <c r="J78" s="317"/>
      <c r="K78" s="314"/>
      <c r="L78" s="393"/>
      <c r="M78" s="315"/>
      <c r="N78" s="314"/>
      <c r="O78" s="316"/>
      <c r="P78" s="314"/>
      <c r="Q78" s="317"/>
      <c r="R78" s="318"/>
      <c r="S78" s="319"/>
      <c r="T78" s="317"/>
      <c r="U78" s="314"/>
      <c r="V78" s="393"/>
      <c r="W78" s="315"/>
      <c r="X78" s="314"/>
      <c r="Y78" s="316"/>
      <c r="Z78" s="314"/>
      <c r="AA78" s="317"/>
      <c r="AB78" s="318"/>
      <c r="AC78" s="319"/>
      <c r="AD78" s="317"/>
      <c r="AE78" s="314"/>
      <c r="AF78" s="136"/>
      <c r="AG78" s="40"/>
      <c r="AH78" s="308"/>
      <c r="AI78" s="2"/>
      <c r="AJ78"/>
      <c r="AK78" s="3"/>
      <c r="AL78"/>
      <c r="AM78" s="20"/>
      <c r="AN78" s="40"/>
      <c r="AP78" s="20"/>
    </row>
    <row r="79" spans="1:42" x14ac:dyDescent="0.3">
      <c r="A79" s="314"/>
      <c r="B79" s="393"/>
      <c r="C79" s="315"/>
      <c r="D79" s="315"/>
      <c r="E79" s="315"/>
      <c r="F79" s="315"/>
      <c r="G79" s="315"/>
      <c r="H79" s="315"/>
      <c r="I79" s="315"/>
      <c r="J79" s="317"/>
      <c r="K79" s="314"/>
      <c r="L79" s="393"/>
      <c r="M79" s="315"/>
      <c r="N79" s="314"/>
      <c r="O79" s="316"/>
      <c r="P79" s="314"/>
      <c r="Q79" s="317"/>
      <c r="R79" s="318"/>
      <c r="S79" s="319"/>
      <c r="T79" s="317"/>
      <c r="U79" s="314"/>
      <c r="V79" s="393"/>
      <c r="W79" s="315"/>
      <c r="X79" s="314"/>
      <c r="Y79" s="316"/>
      <c r="Z79" s="314"/>
      <c r="AA79" s="317"/>
      <c r="AB79" s="318"/>
      <c r="AC79" s="319"/>
      <c r="AD79" s="317"/>
      <c r="AE79" s="314"/>
      <c r="AF79" s="136"/>
      <c r="AG79" s="40"/>
      <c r="AH79" s="308"/>
      <c r="AI79" s="175" t="s">
        <v>72</v>
      </c>
      <c r="AJ79" s="143"/>
      <c r="AK79" s="176"/>
      <c r="AL79" s="143"/>
      <c r="AM79" s="177"/>
      <c r="AN79" s="178"/>
      <c r="AO79" s="179">
        <f>SUM(AO66:AO67)</f>
        <v>10000</v>
      </c>
      <c r="AP79" s="20"/>
    </row>
    <row r="80" spans="1:42" x14ac:dyDescent="0.3">
      <c r="A80" s="314"/>
      <c r="B80" s="393"/>
      <c r="C80" s="315"/>
      <c r="D80" s="314"/>
      <c r="E80" s="316"/>
      <c r="F80" s="314"/>
      <c r="G80" s="317"/>
      <c r="H80" s="335"/>
      <c r="I80" s="319"/>
      <c r="J80" s="317"/>
      <c r="K80" s="314"/>
      <c r="L80" s="393"/>
      <c r="M80" s="315"/>
      <c r="N80" s="314"/>
      <c r="O80" s="316"/>
      <c r="P80" s="314"/>
      <c r="Q80" s="317"/>
      <c r="R80" s="335"/>
      <c r="S80" s="319"/>
      <c r="T80" s="317"/>
      <c r="U80" s="314"/>
      <c r="V80" s="393"/>
      <c r="W80" s="315"/>
      <c r="X80" s="314"/>
      <c r="Y80" s="316"/>
      <c r="Z80" s="314"/>
      <c r="AA80" s="317"/>
      <c r="AB80" s="335"/>
      <c r="AC80" s="319"/>
      <c r="AD80" s="317"/>
      <c r="AE80" s="314"/>
      <c r="AF80" s="136"/>
      <c r="AG80" s="40"/>
      <c r="AH80" s="308"/>
      <c r="AI80" s="86"/>
      <c r="AJ80" s="87"/>
      <c r="AK80" s="88"/>
      <c r="AL80" s="87"/>
      <c r="AM80" s="89"/>
      <c r="AN80" s="182" t="s">
        <v>73</v>
      </c>
      <c r="AO80" s="91">
        <f>AO40</f>
        <v>1200</v>
      </c>
      <c r="AP80" s="20"/>
    </row>
    <row r="81" spans="1:42" x14ac:dyDescent="0.3">
      <c r="A81" s="314"/>
      <c r="B81" s="393"/>
      <c r="C81" s="315"/>
      <c r="D81" s="314"/>
      <c r="E81" s="316"/>
      <c r="F81" s="314"/>
      <c r="G81" s="317"/>
      <c r="H81" s="336"/>
      <c r="I81" s="319"/>
      <c r="J81" s="317"/>
      <c r="K81" s="314"/>
      <c r="L81" s="393"/>
      <c r="M81" s="315"/>
      <c r="N81" s="314"/>
      <c r="O81" s="316"/>
      <c r="P81" s="314"/>
      <c r="Q81" s="317"/>
      <c r="R81" s="336"/>
      <c r="S81" s="319"/>
      <c r="T81" s="317"/>
      <c r="U81" s="314"/>
      <c r="V81" s="393"/>
      <c r="W81" s="315"/>
      <c r="X81" s="314"/>
      <c r="Y81" s="316"/>
      <c r="Z81" s="314"/>
      <c r="AA81" s="317"/>
      <c r="AB81" s="336"/>
      <c r="AC81" s="319"/>
      <c r="AD81" s="317"/>
      <c r="AE81" s="314"/>
      <c r="AF81" s="136"/>
      <c r="AG81" s="40"/>
      <c r="AH81" s="308"/>
      <c r="AI81" s="183"/>
      <c r="AJ81" s="119" t="s">
        <v>59</v>
      </c>
      <c r="AK81" s="124"/>
      <c r="AL81" s="119"/>
      <c r="AM81" s="184"/>
      <c r="AN81" s="123" t="s">
        <v>60</v>
      </c>
      <c r="AO81" s="185">
        <f>AO59</f>
        <v>0</v>
      </c>
      <c r="AP81" s="20"/>
    </row>
    <row r="82" spans="1:42" x14ac:dyDescent="0.3">
      <c r="A82" s="314"/>
      <c r="B82" s="393"/>
      <c r="C82" s="325"/>
      <c r="D82" s="320"/>
      <c r="E82" s="326"/>
      <c r="F82" s="320"/>
      <c r="G82" s="321"/>
      <c r="H82" s="337"/>
      <c r="I82" s="338"/>
      <c r="J82" s="317"/>
      <c r="K82" s="314"/>
      <c r="L82" s="393"/>
      <c r="M82" s="325"/>
      <c r="N82" s="320"/>
      <c r="O82" s="326"/>
      <c r="P82" s="320"/>
      <c r="Q82" s="321"/>
      <c r="R82" s="339"/>
      <c r="S82" s="338"/>
      <c r="T82" s="317"/>
      <c r="U82" s="314"/>
      <c r="V82" s="393"/>
      <c r="W82" s="325"/>
      <c r="X82" s="320"/>
      <c r="Y82" s="326"/>
      <c r="Z82" s="320"/>
      <c r="AA82" s="321"/>
      <c r="AB82" s="339"/>
      <c r="AC82" s="338"/>
      <c r="AD82" s="317"/>
      <c r="AE82" s="314"/>
      <c r="AF82" s="136"/>
      <c r="AG82" s="40"/>
      <c r="AH82" s="308"/>
      <c r="AI82" s="186"/>
      <c r="AJ82" s="187"/>
      <c r="AK82" s="188"/>
      <c r="AL82" s="187"/>
      <c r="AM82" s="189"/>
      <c r="AN82" s="191"/>
      <c r="AO82" s="190">
        <f>AO77-SUM(AO79:AO81)</f>
        <v>19550.959345238094</v>
      </c>
      <c r="AP82" s="20"/>
    </row>
    <row r="83" spans="1:42" x14ac:dyDescent="0.3">
      <c r="A83" s="314"/>
      <c r="B83" s="393"/>
      <c r="C83" s="315"/>
      <c r="D83" s="314"/>
      <c r="E83" s="316"/>
      <c r="F83" s="340"/>
      <c r="G83" s="340"/>
      <c r="H83" s="340"/>
      <c r="I83" s="319"/>
      <c r="J83" s="317"/>
      <c r="K83" s="314"/>
      <c r="L83" s="393"/>
      <c r="M83" s="315"/>
      <c r="N83" s="314"/>
      <c r="O83" s="316"/>
      <c r="P83" s="340"/>
      <c r="Q83" s="340"/>
      <c r="R83" s="340"/>
      <c r="S83" s="319"/>
      <c r="T83" s="317"/>
      <c r="U83" s="314"/>
      <c r="V83" s="393"/>
      <c r="W83" s="315"/>
      <c r="X83" s="314"/>
      <c r="Y83" s="316"/>
      <c r="Z83" s="340"/>
      <c r="AA83" s="340"/>
      <c r="AB83" s="340"/>
      <c r="AC83" s="319"/>
      <c r="AD83" s="317"/>
      <c r="AE83" s="314"/>
      <c r="AF83" s="136"/>
      <c r="AG83" s="40"/>
      <c r="AH83" s="308"/>
      <c r="AI83" s="180"/>
      <c r="AJ83" s="60" t="s">
        <v>74</v>
      </c>
      <c r="AK83" s="73"/>
      <c r="AL83" s="115"/>
      <c r="AM83" s="115"/>
      <c r="AN83" s="115"/>
      <c r="AO83" s="102">
        <f>AK92</f>
        <v>0</v>
      </c>
      <c r="AP83" s="20"/>
    </row>
    <row r="84" spans="1:42" x14ac:dyDescent="0.3">
      <c r="A84" s="314"/>
      <c r="B84" s="393"/>
      <c r="C84" s="315"/>
      <c r="D84" s="316"/>
      <c r="E84" s="340"/>
      <c r="F84" s="314"/>
      <c r="G84" s="317"/>
      <c r="H84" s="336"/>
      <c r="I84" s="319"/>
      <c r="J84" s="317"/>
      <c r="K84" s="314"/>
      <c r="L84" s="393"/>
      <c r="M84" s="315"/>
      <c r="N84" s="316"/>
      <c r="O84" s="340"/>
      <c r="P84" s="314"/>
      <c r="Q84" s="317"/>
      <c r="R84" s="336"/>
      <c r="S84" s="319"/>
      <c r="T84" s="317"/>
      <c r="U84" s="314"/>
      <c r="V84" s="393"/>
      <c r="W84" s="315"/>
      <c r="X84" s="316"/>
      <c r="Y84" s="340"/>
      <c r="Z84" s="314"/>
      <c r="AA84" s="317"/>
      <c r="AB84" s="336"/>
      <c r="AC84" s="319"/>
      <c r="AD84" s="317"/>
      <c r="AE84" s="314"/>
      <c r="AF84" s="136"/>
      <c r="AG84" s="40"/>
      <c r="AH84" s="308"/>
      <c r="AI84" s="180"/>
      <c r="AJ84" s="73" t="s">
        <v>42</v>
      </c>
      <c r="AK84" s="104">
        <f>AK43*(1-AO75)</f>
        <v>0</v>
      </c>
      <c r="AL84" s="60"/>
      <c r="AM84" s="66"/>
      <c r="AN84" s="67" t="s">
        <v>43</v>
      </c>
      <c r="AO84" s="102"/>
      <c r="AP84" s="20"/>
    </row>
    <row r="85" spans="1:42" x14ac:dyDescent="0.3">
      <c r="A85" s="314"/>
      <c r="B85" s="393"/>
      <c r="C85" s="315"/>
      <c r="D85" s="316"/>
      <c r="E85" s="316"/>
      <c r="F85" s="394"/>
      <c r="G85" s="394"/>
      <c r="H85" s="341"/>
      <c r="I85" s="319"/>
      <c r="J85" s="317"/>
      <c r="K85" s="314"/>
      <c r="L85" s="393"/>
      <c r="M85" s="315"/>
      <c r="N85" s="316"/>
      <c r="O85" s="316"/>
      <c r="P85" s="394"/>
      <c r="Q85" s="394"/>
      <c r="R85" s="341"/>
      <c r="S85" s="319"/>
      <c r="T85" s="317"/>
      <c r="U85" s="314"/>
      <c r="V85" s="393"/>
      <c r="W85" s="315"/>
      <c r="X85" s="316"/>
      <c r="Y85" s="316"/>
      <c r="Z85" s="394"/>
      <c r="AA85" s="394"/>
      <c r="AB85" s="341"/>
      <c r="AC85" s="319"/>
      <c r="AD85" s="317"/>
      <c r="AE85" s="314"/>
      <c r="AF85" s="136"/>
      <c r="AG85" s="40"/>
      <c r="AH85" s="308"/>
      <c r="AI85" s="180"/>
      <c r="AJ85" s="73" t="s">
        <v>44</v>
      </c>
      <c r="AK85" s="73"/>
      <c r="AL85" s="303">
        <f>AL44</f>
        <v>0.4</v>
      </c>
      <c r="AM85" s="303"/>
      <c r="AN85" s="105" t="s">
        <v>45</v>
      </c>
      <c r="AO85" s="102"/>
      <c r="AP85" s="20"/>
    </row>
    <row r="86" spans="1:42" x14ac:dyDescent="0.3">
      <c r="A86" s="314"/>
      <c r="B86" s="393"/>
      <c r="C86" s="315"/>
      <c r="D86" s="316"/>
      <c r="E86" s="316"/>
      <c r="F86" s="394"/>
      <c r="G86" s="394"/>
      <c r="H86" s="342"/>
      <c r="I86" s="319"/>
      <c r="J86" s="317"/>
      <c r="K86" s="314"/>
      <c r="L86" s="393"/>
      <c r="M86" s="315"/>
      <c r="N86" s="316"/>
      <c r="O86" s="316"/>
      <c r="P86" s="394"/>
      <c r="Q86" s="394"/>
      <c r="R86" s="342"/>
      <c r="S86" s="319"/>
      <c r="T86" s="317"/>
      <c r="U86" s="314"/>
      <c r="V86" s="393"/>
      <c r="W86" s="315"/>
      <c r="X86" s="316"/>
      <c r="Y86" s="316"/>
      <c r="Z86" s="394"/>
      <c r="AA86" s="394"/>
      <c r="AB86" s="342"/>
      <c r="AC86" s="319"/>
      <c r="AD86" s="317"/>
      <c r="AE86" s="314"/>
      <c r="AF86" s="136"/>
      <c r="AG86" s="40"/>
      <c r="AH86" s="308"/>
      <c r="AI86" s="180"/>
      <c r="AJ86" s="73" t="s">
        <v>46</v>
      </c>
      <c r="AK86" s="73"/>
      <c r="AL86" s="303">
        <f>AL45</f>
        <v>0.12</v>
      </c>
      <c r="AM86" s="303"/>
      <c r="AN86" s="106">
        <f>AK84*AL86</f>
        <v>0</v>
      </c>
      <c r="AO86" s="102"/>
      <c r="AP86" s="20"/>
    </row>
    <row r="87" spans="1:42" x14ac:dyDescent="0.3">
      <c r="A87" s="314"/>
      <c r="B87" s="393"/>
      <c r="C87" s="315"/>
      <c r="D87" s="316"/>
      <c r="E87" s="316"/>
      <c r="F87" s="394"/>
      <c r="G87" s="394"/>
      <c r="H87" s="342"/>
      <c r="I87" s="319"/>
      <c r="J87" s="317"/>
      <c r="K87" s="314"/>
      <c r="L87" s="393"/>
      <c r="M87" s="315"/>
      <c r="N87" s="316"/>
      <c r="O87" s="316"/>
      <c r="P87" s="394"/>
      <c r="Q87" s="394"/>
      <c r="R87" s="342"/>
      <c r="S87" s="319"/>
      <c r="T87" s="317"/>
      <c r="U87" s="314"/>
      <c r="V87" s="393"/>
      <c r="W87" s="315"/>
      <c r="X87" s="316"/>
      <c r="Y87" s="316"/>
      <c r="Z87" s="394"/>
      <c r="AA87" s="394"/>
      <c r="AB87" s="342"/>
      <c r="AC87" s="319"/>
      <c r="AD87" s="317"/>
      <c r="AE87" s="314"/>
      <c r="AF87" s="136"/>
      <c r="AG87" s="40"/>
      <c r="AH87" s="308"/>
      <c r="AI87" s="180"/>
      <c r="AJ87" s="73" t="s">
        <v>47</v>
      </c>
      <c r="AK87" s="73"/>
      <c r="AL87" s="303">
        <f>AL46</f>
        <v>0.17</v>
      </c>
      <c r="AM87" s="303"/>
      <c r="AN87" s="106">
        <f>AN46</f>
        <v>0</v>
      </c>
      <c r="AO87" s="102"/>
      <c r="AP87" s="20"/>
    </row>
    <row r="88" spans="1:42" x14ac:dyDescent="0.3">
      <c r="A88" s="314"/>
      <c r="B88" s="393"/>
      <c r="C88" s="315"/>
      <c r="D88" s="316"/>
      <c r="E88" s="316"/>
      <c r="F88" s="395"/>
      <c r="G88" s="395"/>
      <c r="H88" s="343"/>
      <c r="I88" s="319"/>
      <c r="J88" s="317"/>
      <c r="K88" s="314"/>
      <c r="L88" s="393"/>
      <c r="M88" s="315"/>
      <c r="N88" s="316"/>
      <c r="O88" s="316"/>
      <c r="P88" s="395"/>
      <c r="Q88" s="395"/>
      <c r="R88" s="343"/>
      <c r="S88" s="319"/>
      <c r="T88" s="317"/>
      <c r="U88" s="314"/>
      <c r="V88" s="393"/>
      <c r="W88" s="315"/>
      <c r="X88" s="316"/>
      <c r="Y88" s="316"/>
      <c r="Z88" s="395"/>
      <c r="AA88" s="395"/>
      <c r="AB88" s="343"/>
      <c r="AC88" s="319"/>
      <c r="AD88" s="317"/>
      <c r="AE88" s="314"/>
      <c r="AF88" s="136"/>
      <c r="AG88" s="40"/>
      <c r="AH88" s="308"/>
      <c r="AI88" s="180"/>
      <c r="AJ88" s="73"/>
      <c r="AK88" s="73"/>
      <c r="AL88" s="304">
        <f>(((1+AL85)*(1-AL86))/(1-AL87))-1</f>
        <v>0.48433734939759043</v>
      </c>
      <c r="AM88" s="304"/>
      <c r="AN88" s="107" t="s">
        <v>48</v>
      </c>
      <c r="AO88" s="102"/>
      <c r="AP88" s="20"/>
    </row>
    <row r="89" spans="1:42" x14ac:dyDescent="0.3">
      <c r="A89" s="314"/>
      <c r="B89" s="393"/>
      <c r="C89" s="315"/>
      <c r="D89" s="316"/>
      <c r="E89" s="344"/>
      <c r="F89" s="314"/>
      <c r="G89" s="317"/>
      <c r="H89" s="318"/>
      <c r="I89" s="319"/>
      <c r="J89" s="317"/>
      <c r="K89" s="314"/>
      <c r="L89" s="393"/>
      <c r="M89" s="315"/>
      <c r="N89" s="316"/>
      <c r="O89" s="344"/>
      <c r="P89" s="314"/>
      <c r="Q89" s="317"/>
      <c r="R89" s="318"/>
      <c r="S89" s="319"/>
      <c r="T89" s="317"/>
      <c r="U89" s="314"/>
      <c r="V89" s="393"/>
      <c r="W89" s="315"/>
      <c r="X89" s="316"/>
      <c r="Y89" s="344"/>
      <c r="Z89" s="314"/>
      <c r="AA89" s="317"/>
      <c r="AB89" s="318"/>
      <c r="AC89" s="319"/>
      <c r="AD89" s="317"/>
      <c r="AE89" s="314"/>
      <c r="AF89" s="136"/>
      <c r="AG89" s="40"/>
      <c r="AH89" s="308"/>
      <c r="AI89" s="180"/>
      <c r="AJ89" s="73" t="s">
        <v>49</v>
      </c>
      <c r="AK89" s="65">
        <f>AK84*(1+AL88)</f>
        <v>0</v>
      </c>
      <c r="AL89" s="60"/>
      <c r="AM89" s="66"/>
      <c r="AN89" s="74"/>
      <c r="AO89" s="102"/>
      <c r="AP89" s="20"/>
    </row>
    <row r="90" spans="1:42" x14ac:dyDescent="0.3">
      <c r="A90" s="314"/>
      <c r="B90" s="393"/>
      <c r="C90" s="315"/>
      <c r="D90" s="316"/>
      <c r="E90" s="344"/>
      <c r="F90" s="314"/>
      <c r="G90" s="317"/>
      <c r="H90" s="336"/>
      <c r="I90" s="319"/>
      <c r="J90" s="317"/>
      <c r="K90" s="314"/>
      <c r="L90" s="393"/>
      <c r="M90" s="315"/>
      <c r="N90" s="316"/>
      <c r="O90" s="344"/>
      <c r="P90" s="314"/>
      <c r="Q90" s="317"/>
      <c r="R90" s="336"/>
      <c r="S90" s="319"/>
      <c r="T90" s="317"/>
      <c r="U90" s="314"/>
      <c r="V90" s="393"/>
      <c r="W90" s="315"/>
      <c r="X90" s="316"/>
      <c r="Y90" s="344"/>
      <c r="Z90" s="314"/>
      <c r="AA90" s="317"/>
      <c r="AB90" s="336"/>
      <c r="AC90" s="319"/>
      <c r="AD90" s="317"/>
      <c r="AE90" s="314"/>
      <c r="AF90" s="136"/>
      <c r="AG90" s="40"/>
      <c r="AH90" s="308"/>
      <c r="AI90" s="180"/>
      <c r="AJ90" s="73" t="s">
        <v>50</v>
      </c>
      <c r="AK90" s="65">
        <f>AK89*AL87</f>
        <v>0</v>
      </c>
      <c r="AL90" s="60"/>
      <c r="AM90" s="66"/>
      <c r="AN90" s="67" t="s">
        <v>51</v>
      </c>
      <c r="AO90" s="102"/>
      <c r="AP90" s="20"/>
    </row>
    <row r="91" spans="1:42" x14ac:dyDescent="0.3">
      <c r="A91" s="314"/>
      <c r="B91" s="393"/>
      <c r="C91" s="315"/>
      <c r="D91" s="316"/>
      <c r="E91" s="344"/>
      <c r="F91" s="314"/>
      <c r="G91" s="317"/>
      <c r="H91" s="336"/>
      <c r="I91" s="319"/>
      <c r="J91" s="317"/>
      <c r="K91" s="314"/>
      <c r="L91" s="393"/>
      <c r="M91" s="315"/>
      <c r="N91" s="316"/>
      <c r="O91" s="344"/>
      <c r="P91" s="314"/>
      <c r="Q91" s="317"/>
      <c r="R91" s="336"/>
      <c r="S91" s="319"/>
      <c r="T91" s="317"/>
      <c r="U91" s="314"/>
      <c r="V91" s="393"/>
      <c r="W91" s="315"/>
      <c r="X91" s="316"/>
      <c r="Y91" s="344"/>
      <c r="Z91" s="314"/>
      <c r="AA91" s="317"/>
      <c r="AB91" s="336"/>
      <c r="AC91" s="319"/>
      <c r="AD91" s="317"/>
      <c r="AE91" s="314"/>
      <c r="AF91" s="136"/>
      <c r="AG91" s="40"/>
      <c r="AH91" s="308"/>
      <c r="AI91" s="180"/>
      <c r="AJ91" s="108" t="s">
        <v>52</v>
      </c>
      <c r="AK91" s="109">
        <f>AN86</f>
        <v>0</v>
      </c>
      <c r="AL91" s="110"/>
      <c r="AM91" s="111"/>
      <c r="AN91" s="112" t="s">
        <v>53</v>
      </c>
      <c r="AO91" s="102"/>
      <c r="AP91" s="20"/>
    </row>
    <row r="92" spans="1:42" x14ac:dyDescent="0.3">
      <c r="A92" s="314"/>
      <c r="B92" s="393"/>
      <c r="C92" s="315"/>
      <c r="D92" s="316"/>
      <c r="E92" s="344"/>
      <c r="F92" s="314"/>
      <c r="G92" s="317"/>
      <c r="H92" s="336"/>
      <c r="I92" s="319"/>
      <c r="J92" s="317"/>
      <c r="K92" s="314"/>
      <c r="L92" s="393"/>
      <c r="M92" s="315"/>
      <c r="N92" s="316"/>
      <c r="O92" s="344"/>
      <c r="P92" s="314"/>
      <c r="Q92" s="317"/>
      <c r="R92" s="336"/>
      <c r="S92" s="319"/>
      <c r="T92" s="317"/>
      <c r="U92" s="314"/>
      <c r="V92" s="393"/>
      <c r="W92" s="315"/>
      <c r="X92" s="316"/>
      <c r="Y92" s="344"/>
      <c r="Z92" s="314"/>
      <c r="AA92" s="317"/>
      <c r="AB92" s="336"/>
      <c r="AC92" s="319"/>
      <c r="AD92" s="317"/>
      <c r="AE92" s="314"/>
      <c r="AF92" s="136"/>
      <c r="AG92" s="40"/>
      <c r="AH92" s="308"/>
      <c r="AI92" s="180"/>
      <c r="AJ92" s="73" t="s">
        <v>41</v>
      </c>
      <c r="AK92" s="65">
        <f>AK90-AK91</f>
        <v>0</v>
      </c>
      <c r="AL92" s="60"/>
      <c r="AM92" s="66"/>
      <c r="AN92" s="67" t="s">
        <v>54</v>
      </c>
      <c r="AO92" s="102"/>
      <c r="AP92" s="20"/>
    </row>
    <row r="93" spans="1:42" x14ac:dyDescent="0.3">
      <c r="A93" s="314"/>
      <c r="B93" s="393"/>
      <c r="C93" s="315"/>
      <c r="D93" s="314"/>
      <c r="E93" s="316"/>
      <c r="F93" s="314"/>
      <c r="G93" s="342"/>
      <c r="H93" s="342"/>
      <c r="I93" s="319"/>
      <c r="J93" s="317"/>
      <c r="K93" s="314"/>
      <c r="L93" s="393"/>
      <c r="M93" s="315"/>
      <c r="N93" s="314"/>
      <c r="O93" s="316"/>
      <c r="P93" s="314"/>
      <c r="Q93" s="342"/>
      <c r="R93" s="342"/>
      <c r="S93" s="319"/>
      <c r="T93" s="317"/>
      <c r="U93" s="314"/>
      <c r="V93" s="393"/>
      <c r="W93" s="315"/>
      <c r="X93" s="314"/>
      <c r="Y93" s="316"/>
      <c r="Z93" s="314"/>
      <c r="AA93" s="342"/>
      <c r="AB93" s="342"/>
      <c r="AC93" s="319"/>
      <c r="AD93" s="317"/>
      <c r="AE93" s="314"/>
      <c r="AF93" s="136"/>
      <c r="AG93" s="40"/>
      <c r="AH93" s="308"/>
      <c r="AI93" s="180"/>
      <c r="AJ93" s="181"/>
      <c r="AK93" s="181"/>
      <c r="AL93" s="181"/>
      <c r="AM93" s="192"/>
      <c r="AN93" s="192"/>
      <c r="AO93" s="193"/>
      <c r="AP93" s="20"/>
    </row>
    <row r="94" spans="1:42" x14ac:dyDescent="0.3">
      <c r="A94" s="314"/>
      <c r="B94" s="393"/>
      <c r="C94" s="315"/>
      <c r="D94" s="314"/>
      <c r="E94" s="316"/>
      <c r="F94" s="314"/>
      <c r="G94" s="317"/>
      <c r="H94" s="318"/>
      <c r="I94" s="319"/>
      <c r="J94" s="317"/>
      <c r="K94" s="314"/>
      <c r="L94" s="393"/>
      <c r="M94" s="315"/>
      <c r="N94" s="314"/>
      <c r="O94" s="316"/>
      <c r="P94" s="314"/>
      <c r="Q94" s="317"/>
      <c r="R94" s="318"/>
      <c r="S94" s="319"/>
      <c r="T94" s="317"/>
      <c r="U94" s="314"/>
      <c r="V94" s="393"/>
      <c r="W94" s="315"/>
      <c r="X94" s="314"/>
      <c r="Y94" s="316"/>
      <c r="Z94" s="314"/>
      <c r="AA94" s="317"/>
      <c r="AB94" s="318"/>
      <c r="AC94" s="319"/>
      <c r="AD94" s="317"/>
      <c r="AE94" s="314"/>
      <c r="AF94" s="136"/>
      <c r="AG94" s="40"/>
      <c r="AH94" s="308"/>
      <c r="AI94" s="180"/>
      <c r="AJ94" s="60" t="s">
        <v>55</v>
      </c>
      <c r="AK94" s="73"/>
      <c r="AL94" s="60"/>
      <c r="AM94" s="66"/>
      <c r="AN94" s="74"/>
      <c r="AO94" s="102">
        <f>AN98</f>
        <v>0</v>
      </c>
      <c r="AP94" s="20"/>
    </row>
    <row r="95" spans="1:42" x14ac:dyDescent="0.3">
      <c r="A95" s="314"/>
      <c r="B95" s="393"/>
      <c r="C95" s="315"/>
      <c r="D95" s="316"/>
      <c r="E95" s="340"/>
      <c r="F95" s="314"/>
      <c r="G95" s="317"/>
      <c r="H95" s="336"/>
      <c r="I95" s="345"/>
      <c r="J95" s="317"/>
      <c r="K95" s="314"/>
      <c r="L95" s="393"/>
      <c r="M95" s="315"/>
      <c r="N95" s="316"/>
      <c r="O95" s="340"/>
      <c r="P95" s="314"/>
      <c r="Q95" s="317"/>
      <c r="R95" s="336"/>
      <c r="S95" s="345"/>
      <c r="T95" s="317"/>
      <c r="U95" s="314"/>
      <c r="V95" s="393"/>
      <c r="W95" s="315"/>
      <c r="X95" s="316"/>
      <c r="Y95" s="340"/>
      <c r="Z95" s="314"/>
      <c r="AA95" s="317"/>
      <c r="AB95" s="336"/>
      <c r="AC95" s="345"/>
      <c r="AD95" s="317"/>
      <c r="AE95" s="314"/>
      <c r="AF95" s="136"/>
      <c r="AG95" s="40"/>
      <c r="AH95" s="308"/>
      <c r="AI95" s="180"/>
      <c r="AJ95" s="73" t="s">
        <v>42</v>
      </c>
      <c r="AK95" s="104">
        <f>(AK54-AO40)*(1-AO75)+AO40</f>
        <v>60</v>
      </c>
      <c r="AL95" s="60"/>
      <c r="AM95" s="66"/>
      <c r="AN95" s="67" t="s">
        <v>43</v>
      </c>
      <c r="AO95" s="113"/>
      <c r="AP95" s="20"/>
    </row>
    <row r="96" spans="1:42" x14ac:dyDescent="0.3">
      <c r="A96" s="314"/>
      <c r="B96" s="393"/>
      <c r="C96" s="315"/>
      <c r="D96" s="316"/>
      <c r="E96" s="316"/>
      <c r="F96" s="394"/>
      <c r="G96" s="394"/>
      <c r="H96" s="342"/>
      <c r="I96" s="319"/>
      <c r="J96" s="317"/>
      <c r="K96" s="314"/>
      <c r="L96" s="393"/>
      <c r="M96" s="315"/>
      <c r="N96" s="316"/>
      <c r="O96" s="316"/>
      <c r="P96" s="394"/>
      <c r="Q96" s="394"/>
      <c r="R96" s="342"/>
      <c r="S96" s="319"/>
      <c r="T96" s="317"/>
      <c r="U96" s="314"/>
      <c r="V96" s="393"/>
      <c r="W96" s="315"/>
      <c r="X96" s="316"/>
      <c r="Y96" s="316"/>
      <c r="Z96" s="394"/>
      <c r="AA96" s="394"/>
      <c r="AB96" s="342"/>
      <c r="AC96" s="319"/>
      <c r="AD96" s="317"/>
      <c r="AE96" s="314"/>
      <c r="AF96" s="136"/>
      <c r="AG96" s="40"/>
      <c r="AH96" s="308"/>
      <c r="AI96" s="180"/>
      <c r="AJ96" s="73" t="s">
        <v>56</v>
      </c>
      <c r="AK96" s="73"/>
      <c r="AL96" s="303">
        <f>AL55</f>
        <v>0.17</v>
      </c>
      <c r="AM96" s="303"/>
      <c r="AN96" s="106">
        <f>AK95*AL96</f>
        <v>10.200000000000001</v>
      </c>
      <c r="AO96" s="61"/>
      <c r="AP96" s="20"/>
    </row>
    <row r="97" spans="1:45" x14ac:dyDescent="0.3">
      <c r="A97" s="314"/>
      <c r="B97" s="393"/>
      <c r="C97" s="315"/>
      <c r="D97" s="316"/>
      <c r="E97" s="316"/>
      <c r="F97" s="394"/>
      <c r="G97" s="394"/>
      <c r="H97" s="342"/>
      <c r="I97" s="319"/>
      <c r="J97" s="317"/>
      <c r="K97" s="314"/>
      <c r="L97" s="393"/>
      <c r="M97" s="315"/>
      <c r="N97" s="316"/>
      <c r="O97" s="316"/>
      <c r="P97" s="394"/>
      <c r="Q97" s="394"/>
      <c r="R97" s="342"/>
      <c r="S97" s="319"/>
      <c r="T97" s="317"/>
      <c r="U97" s="314"/>
      <c r="V97" s="393"/>
      <c r="W97" s="315"/>
      <c r="X97" s="316"/>
      <c r="Y97" s="316"/>
      <c r="Z97" s="394"/>
      <c r="AA97" s="394"/>
      <c r="AB97" s="342"/>
      <c r="AC97" s="319"/>
      <c r="AD97" s="317"/>
      <c r="AE97" s="314"/>
      <c r="AF97" s="136"/>
      <c r="AG97" s="40"/>
      <c r="AH97" s="308"/>
      <c r="AI97" s="180"/>
      <c r="AJ97" s="73" t="s">
        <v>57</v>
      </c>
      <c r="AK97" s="108"/>
      <c r="AL97" s="305">
        <f>AL56</f>
        <v>0.12</v>
      </c>
      <c r="AM97" s="305"/>
      <c r="AN97" s="114">
        <f>AK95*AL97</f>
        <v>7.1999999999999993</v>
      </c>
      <c r="AO97" s="61"/>
      <c r="AP97" s="20"/>
    </row>
    <row r="98" spans="1:45" x14ac:dyDescent="0.3">
      <c r="A98" s="314"/>
      <c r="B98" s="393"/>
      <c r="C98" s="315"/>
      <c r="D98" s="316"/>
      <c r="E98" s="340"/>
      <c r="F98" s="346"/>
      <c r="G98" s="346"/>
      <c r="H98" s="342"/>
      <c r="I98" s="319"/>
      <c r="J98" s="317"/>
      <c r="K98" s="314"/>
      <c r="L98" s="393"/>
      <c r="M98" s="315"/>
      <c r="N98" s="316"/>
      <c r="O98" s="340"/>
      <c r="P98" s="346"/>
      <c r="Q98" s="346"/>
      <c r="R98" s="342"/>
      <c r="S98" s="319"/>
      <c r="T98" s="317"/>
      <c r="U98" s="314"/>
      <c r="V98" s="393"/>
      <c r="W98" s="315"/>
      <c r="X98" s="316"/>
      <c r="Y98" s="340"/>
      <c r="Z98" s="346"/>
      <c r="AA98" s="346"/>
      <c r="AB98" s="342"/>
      <c r="AC98" s="319"/>
      <c r="AD98" s="317"/>
      <c r="AE98" s="314"/>
      <c r="AF98" s="136"/>
      <c r="AG98" s="40"/>
      <c r="AH98" s="308"/>
      <c r="AI98" s="180"/>
      <c r="AJ98" s="73" t="s">
        <v>58</v>
      </c>
      <c r="AK98" s="115"/>
      <c r="AL98" s="116"/>
      <c r="AM98" s="116"/>
      <c r="AN98" s="106"/>
      <c r="AO98" s="61"/>
      <c r="AP98" s="20"/>
    </row>
    <row r="99" spans="1:45" x14ac:dyDescent="0.3">
      <c r="A99" s="314"/>
      <c r="B99" s="393"/>
      <c r="C99" s="315"/>
      <c r="D99" s="316"/>
      <c r="E99" s="316"/>
      <c r="F99" s="345"/>
      <c r="G99" s="345"/>
      <c r="H99" s="340"/>
      <c r="I99" s="319"/>
      <c r="J99" s="317"/>
      <c r="K99" s="314"/>
      <c r="L99" s="393"/>
      <c r="M99" s="315"/>
      <c r="N99" s="316"/>
      <c r="O99" s="316"/>
      <c r="P99" s="345"/>
      <c r="Q99" s="345"/>
      <c r="R99" s="340"/>
      <c r="S99" s="319"/>
      <c r="T99" s="317"/>
      <c r="U99" s="314"/>
      <c r="V99" s="393"/>
      <c r="W99" s="315"/>
      <c r="X99" s="316"/>
      <c r="Y99" s="316"/>
      <c r="Z99" s="345"/>
      <c r="AA99" s="345"/>
      <c r="AB99" s="340"/>
      <c r="AC99" s="319"/>
      <c r="AD99" s="317"/>
      <c r="AE99" s="314"/>
      <c r="AF99" s="136"/>
      <c r="AG99" s="40"/>
      <c r="AH99" s="308"/>
      <c r="AI99" s="180"/>
      <c r="AJ99" s="73"/>
      <c r="AK99" s="73"/>
      <c r="AL99" s="113"/>
      <c r="AM99" s="113"/>
      <c r="AN99" s="115"/>
      <c r="AO99" s="61"/>
      <c r="AP99" s="20"/>
    </row>
    <row r="100" spans="1:45" x14ac:dyDescent="0.3">
      <c r="A100" s="314"/>
      <c r="B100" s="393"/>
      <c r="C100" s="315"/>
      <c r="D100" s="320"/>
      <c r="E100" s="326"/>
      <c r="F100" s="320"/>
      <c r="G100" s="321"/>
      <c r="H100" s="328"/>
      <c r="I100" s="338"/>
      <c r="J100" s="317"/>
      <c r="K100" s="320"/>
      <c r="L100" s="393"/>
      <c r="M100" s="315"/>
      <c r="N100" s="320"/>
      <c r="O100" s="326"/>
      <c r="P100" s="320"/>
      <c r="Q100" s="321"/>
      <c r="R100" s="328"/>
      <c r="S100" s="338"/>
      <c r="T100" s="317"/>
      <c r="U100" s="320"/>
      <c r="V100" s="393"/>
      <c r="W100" s="315"/>
      <c r="X100" s="320"/>
      <c r="Y100" s="326"/>
      <c r="Z100" s="320"/>
      <c r="AA100" s="321"/>
      <c r="AB100" s="328"/>
      <c r="AC100" s="338"/>
      <c r="AD100" s="317"/>
      <c r="AE100" s="320"/>
      <c r="AF100" s="136"/>
      <c r="AG100" s="40"/>
      <c r="AH100" s="308"/>
      <c r="AI100" s="194"/>
      <c r="AJ100" s="187" t="s">
        <v>71</v>
      </c>
      <c r="AK100" s="187"/>
      <c r="AL100" s="187"/>
      <c r="AM100" s="189"/>
      <c r="AN100" s="195"/>
      <c r="AO100" s="190">
        <f>AO82-AO83-AO94</f>
        <v>19550.959345238094</v>
      </c>
      <c r="AP100" s="20"/>
      <c r="AS100" s="196"/>
    </row>
    <row r="101" spans="1:45" x14ac:dyDescent="0.3">
      <c r="A101" s="314"/>
      <c r="B101" s="393"/>
      <c r="C101" s="315"/>
      <c r="D101" s="320"/>
      <c r="E101" s="326"/>
      <c r="F101" s="326"/>
      <c r="G101" s="325"/>
      <c r="H101" s="339"/>
      <c r="I101" s="347"/>
      <c r="J101" s="348"/>
      <c r="K101" s="320"/>
      <c r="L101" s="393"/>
      <c r="M101" s="315"/>
      <c r="N101" s="320"/>
      <c r="O101" s="326"/>
      <c r="P101" s="326"/>
      <c r="Q101" s="325"/>
      <c r="R101" s="339"/>
      <c r="S101" s="347"/>
      <c r="T101" s="348"/>
      <c r="U101" s="320"/>
      <c r="V101" s="393"/>
      <c r="W101" s="315"/>
      <c r="X101" s="320"/>
      <c r="Y101" s="326"/>
      <c r="Z101" s="326"/>
      <c r="AA101" s="325"/>
      <c r="AB101" s="339"/>
      <c r="AC101" s="347"/>
      <c r="AD101" s="348"/>
      <c r="AE101" s="320"/>
      <c r="AF101" s="202"/>
      <c r="AG101" s="203"/>
      <c r="AH101" s="308"/>
      <c r="AI101" s="58"/>
      <c r="AJ101" s="197"/>
      <c r="AK101" s="198"/>
      <c r="AL101" s="198"/>
      <c r="AM101" s="199"/>
      <c r="AN101" s="200" t="s">
        <v>75</v>
      </c>
      <c r="AO101" s="201">
        <f>AO100*(AP24)</f>
        <v>17369.545925457467</v>
      </c>
      <c r="AP101" s="59" t="s">
        <v>76</v>
      </c>
      <c r="AQ101" t="s">
        <v>77</v>
      </c>
    </row>
    <row r="102" spans="1:45" x14ac:dyDescent="0.3">
      <c r="A102" s="314"/>
      <c r="B102" s="393"/>
      <c r="C102" s="315"/>
      <c r="D102" s="320"/>
      <c r="E102" s="326"/>
      <c r="F102" s="326"/>
      <c r="G102" s="325"/>
      <c r="H102" s="339"/>
      <c r="I102" s="347"/>
      <c r="J102" s="348"/>
      <c r="K102" s="320"/>
      <c r="L102" s="393"/>
      <c r="M102" s="315"/>
      <c r="N102" s="320"/>
      <c r="O102" s="326"/>
      <c r="P102" s="326"/>
      <c r="Q102" s="325"/>
      <c r="R102" s="339"/>
      <c r="S102" s="347"/>
      <c r="T102" s="348"/>
      <c r="U102" s="320"/>
      <c r="V102" s="393"/>
      <c r="W102" s="315"/>
      <c r="X102" s="320"/>
      <c r="Y102" s="326"/>
      <c r="Z102" s="326"/>
      <c r="AA102" s="325"/>
      <c r="AB102" s="339"/>
      <c r="AC102" s="347"/>
      <c r="AD102" s="348"/>
      <c r="AE102" s="320"/>
      <c r="AF102" s="202"/>
      <c r="AG102" s="203"/>
      <c r="AH102" s="308"/>
      <c r="AI102" s="58"/>
      <c r="AJ102" s="197"/>
      <c r="AK102" s="198"/>
      <c r="AL102" s="198"/>
      <c r="AM102" s="199"/>
      <c r="AN102" s="204" t="s">
        <v>32</v>
      </c>
      <c r="AO102" s="201">
        <f>AO100*AP32</f>
        <v>2181.4134197806284</v>
      </c>
      <c r="AP102" s="59" t="s">
        <v>78</v>
      </c>
      <c r="AQ102" t="s">
        <v>79</v>
      </c>
    </row>
    <row r="103" spans="1:45" x14ac:dyDescent="0.3">
      <c r="A103" s="314"/>
      <c r="B103" s="393"/>
      <c r="C103" s="315"/>
      <c r="D103" s="320"/>
      <c r="E103" s="326"/>
      <c r="F103" s="320"/>
      <c r="G103" s="321"/>
      <c r="H103" s="328"/>
      <c r="I103" s="338"/>
      <c r="J103" s="317"/>
      <c r="K103" s="320"/>
      <c r="L103" s="393"/>
      <c r="M103" s="315"/>
      <c r="N103" s="320"/>
      <c r="O103" s="326"/>
      <c r="P103" s="320"/>
      <c r="Q103" s="321"/>
      <c r="R103" s="328"/>
      <c r="S103" s="338"/>
      <c r="T103" s="317"/>
      <c r="U103" s="320"/>
      <c r="V103" s="393"/>
      <c r="W103" s="315"/>
      <c r="X103" s="320"/>
      <c r="Y103" s="326"/>
      <c r="Z103" s="320"/>
      <c r="AA103" s="321"/>
      <c r="AB103" s="328"/>
      <c r="AC103" s="338"/>
      <c r="AD103" s="317"/>
      <c r="AE103" s="320"/>
      <c r="AF103" s="136"/>
      <c r="AG103" s="40"/>
      <c r="AH103" s="308"/>
      <c r="AI103" s="58"/>
      <c r="AJ103" s="197"/>
      <c r="AK103" s="197"/>
      <c r="AL103" s="197"/>
      <c r="AM103" s="205"/>
      <c r="AN103" s="206"/>
      <c r="AO103" s="207"/>
      <c r="AP103" s="20"/>
    </row>
    <row r="104" spans="1:45" x14ac:dyDescent="0.3">
      <c r="A104" s="314"/>
      <c r="B104" s="393"/>
      <c r="C104" s="315"/>
      <c r="D104" s="314"/>
      <c r="E104" s="316"/>
      <c r="F104" s="314"/>
      <c r="G104" s="317"/>
      <c r="H104" s="318"/>
      <c r="I104" s="319"/>
      <c r="J104" s="317"/>
      <c r="K104" s="314"/>
      <c r="L104" s="393"/>
      <c r="M104" s="315"/>
      <c r="N104" s="314"/>
      <c r="O104" s="316"/>
      <c r="P104" s="314"/>
      <c r="Q104" s="317"/>
      <c r="R104" s="318"/>
      <c r="S104" s="319"/>
      <c r="T104" s="317"/>
      <c r="U104" s="314"/>
      <c r="V104" s="393"/>
      <c r="W104" s="315"/>
      <c r="X104" s="314"/>
      <c r="Y104" s="316"/>
      <c r="Z104" s="314"/>
      <c r="AA104" s="317"/>
      <c r="AB104" s="318"/>
      <c r="AC104" s="319"/>
      <c r="AD104" s="317"/>
      <c r="AE104" s="314"/>
      <c r="AF104" s="136"/>
      <c r="AG104" s="40"/>
      <c r="AH104" s="308"/>
      <c r="AI104" s="58"/>
      <c r="AJ104"/>
      <c r="AK104"/>
      <c r="AL104"/>
      <c r="AM104" s="20"/>
      <c r="AN104" s="40"/>
      <c r="AO104" s="41"/>
      <c r="AP104" s="20"/>
    </row>
    <row r="105" spans="1:45" x14ac:dyDescent="0.3">
      <c r="A105" s="314"/>
      <c r="B105" s="393"/>
      <c r="C105" s="315"/>
      <c r="D105" s="314"/>
      <c r="E105" s="316"/>
      <c r="F105" s="314"/>
      <c r="G105" s="317"/>
      <c r="H105" s="318"/>
      <c r="I105" s="319"/>
      <c r="J105" s="317"/>
      <c r="K105" s="314"/>
      <c r="L105" s="393"/>
      <c r="M105" s="315"/>
      <c r="N105" s="314"/>
      <c r="O105" s="316"/>
      <c r="P105" s="314"/>
      <c r="Q105" s="317"/>
      <c r="R105" s="318"/>
      <c r="S105" s="319"/>
      <c r="T105" s="317"/>
      <c r="U105" s="314"/>
      <c r="V105" s="393"/>
      <c r="W105" s="315"/>
      <c r="X105" s="314"/>
      <c r="Y105" s="316"/>
      <c r="Z105" s="314"/>
      <c r="AA105" s="317"/>
      <c r="AB105" s="318"/>
      <c r="AC105" s="319"/>
      <c r="AD105" s="317"/>
      <c r="AE105" s="314"/>
      <c r="AF105" s="136"/>
      <c r="AG105" s="40"/>
      <c r="AH105" s="308"/>
      <c r="AI105" s="208" t="s">
        <v>80</v>
      </c>
      <c r="AJ105" s="209" t="s">
        <v>81</v>
      </c>
      <c r="AK105" s="209"/>
      <c r="AL105" s="209"/>
      <c r="AM105" s="210"/>
      <c r="AN105" s="211"/>
      <c r="AO105" s="212"/>
      <c r="AP105" s="20"/>
    </row>
    <row r="106" spans="1:45" x14ac:dyDescent="0.3">
      <c r="A106" s="314"/>
      <c r="B106" s="393"/>
      <c r="C106" s="315"/>
      <c r="D106" s="349"/>
      <c r="E106" s="350"/>
      <c r="F106" s="349"/>
      <c r="G106" s="351"/>
      <c r="H106" s="352"/>
      <c r="I106" s="353"/>
      <c r="J106" s="354"/>
      <c r="K106" s="349"/>
      <c r="L106" s="393"/>
      <c r="M106" s="315"/>
      <c r="N106" s="349"/>
      <c r="O106" s="350"/>
      <c r="P106" s="349"/>
      <c r="Q106" s="351"/>
      <c r="R106" s="352"/>
      <c r="S106" s="353"/>
      <c r="T106" s="354"/>
      <c r="U106" s="349"/>
      <c r="V106" s="393"/>
      <c r="W106" s="315"/>
      <c r="X106" s="349"/>
      <c r="Y106" s="350"/>
      <c r="Z106" s="349"/>
      <c r="AA106" s="351"/>
      <c r="AB106" s="352"/>
      <c r="AC106" s="353"/>
      <c r="AD106" s="354"/>
      <c r="AE106" s="349"/>
      <c r="AF106" s="218"/>
      <c r="AG106" s="219"/>
      <c r="AH106" s="308"/>
      <c r="AI106" s="208"/>
      <c r="AJ106" s="213" t="s">
        <v>16</v>
      </c>
      <c r="AK106" s="213"/>
      <c r="AL106" s="213"/>
      <c r="AM106" s="214"/>
      <c r="AN106" s="215">
        <f>AI18</f>
        <v>0.17</v>
      </c>
      <c r="AO106" s="216">
        <f>AO101*AN106</f>
        <v>2952.8228073277696</v>
      </c>
      <c r="AP106" s="217"/>
      <c r="AQ106" t="s">
        <v>82</v>
      </c>
    </row>
    <row r="107" spans="1:45" x14ac:dyDescent="0.3">
      <c r="A107" s="314"/>
      <c r="B107" s="393"/>
      <c r="C107" s="315"/>
      <c r="D107" s="349"/>
      <c r="E107" s="350"/>
      <c r="F107" s="349"/>
      <c r="G107" s="351"/>
      <c r="H107" s="352"/>
      <c r="I107" s="353"/>
      <c r="J107" s="354"/>
      <c r="K107" s="349"/>
      <c r="L107" s="393"/>
      <c r="M107" s="315"/>
      <c r="N107" s="349"/>
      <c r="O107" s="350"/>
      <c r="P107" s="349"/>
      <c r="Q107" s="351"/>
      <c r="R107" s="352"/>
      <c r="S107" s="353"/>
      <c r="T107" s="354"/>
      <c r="U107" s="349"/>
      <c r="V107" s="393"/>
      <c r="W107" s="315"/>
      <c r="X107" s="349"/>
      <c r="Y107" s="350"/>
      <c r="Z107" s="349"/>
      <c r="AA107" s="351"/>
      <c r="AB107" s="352"/>
      <c r="AC107" s="353"/>
      <c r="AD107" s="354"/>
      <c r="AE107" s="349"/>
      <c r="AF107" s="218"/>
      <c r="AG107" s="219"/>
      <c r="AH107" s="308"/>
      <c r="AI107" s="208"/>
      <c r="AJ107" s="213" t="s">
        <v>17</v>
      </c>
      <c r="AK107" s="213"/>
      <c r="AL107" s="213"/>
      <c r="AM107" s="214"/>
      <c r="AN107" s="215">
        <f>AI19</f>
        <v>0</v>
      </c>
      <c r="AO107" s="216">
        <f>AO101*AN107</f>
        <v>0</v>
      </c>
      <c r="AP107" s="217"/>
    </row>
    <row r="108" spans="1:45" x14ac:dyDescent="0.3">
      <c r="A108" s="314"/>
      <c r="B108" s="393"/>
      <c r="C108" s="315"/>
      <c r="D108" s="320"/>
      <c r="E108" s="326"/>
      <c r="F108" s="320"/>
      <c r="G108" s="321"/>
      <c r="H108" s="355"/>
      <c r="I108" s="338"/>
      <c r="J108" s="321"/>
      <c r="K108" s="320"/>
      <c r="L108" s="393"/>
      <c r="M108" s="315"/>
      <c r="N108" s="320"/>
      <c r="O108" s="326"/>
      <c r="P108" s="320"/>
      <c r="Q108" s="321"/>
      <c r="R108" s="355"/>
      <c r="S108" s="338"/>
      <c r="T108" s="321"/>
      <c r="U108" s="320"/>
      <c r="V108" s="393"/>
      <c r="W108" s="315"/>
      <c r="X108" s="320"/>
      <c r="Y108" s="326"/>
      <c r="Z108" s="320"/>
      <c r="AA108" s="321"/>
      <c r="AB108" s="355"/>
      <c r="AC108" s="338"/>
      <c r="AD108" s="321"/>
      <c r="AE108" s="320"/>
      <c r="AF108" s="221"/>
      <c r="AG108" s="142"/>
      <c r="AH108" s="308"/>
      <c r="AI108" s="208"/>
      <c r="AJ108" s="187" t="s">
        <v>83</v>
      </c>
      <c r="AK108" s="187"/>
      <c r="AL108" s="187"/>
      <c r="AM108" s="189"/>
      <c r="AN108" s="220"/>
      <c r="AO108" s="190">
        <f>AO101-AO106-AO107</f>
        <v>14416.723118129697</v>
      </c>
      <c r="AP108" s="139"/>
    </row>
    <row r="109" spans="1:45" x14ac:dyDescent="0.3">
      <c r="A109" s="314"/>
      <c r="B109" s="393"/>
      <c r="C109" s="315"/>
      <c r="D109" s="349"/>
      <c r="E109" s="350"/>
      <c r="F109" s="349"/>
      <c r="G109" s="356"/>
      <c r="H109" s="352"/>
      <c r="I109" s="353"/>
      <c r="J109" s="354"/>
      <c r="K109" s="349"/>
      <c r="L109" s="393"/>
      <c r="M109" s="315"/>
      <c r="N109" s="349"/>
      <c r="O109" s="350"/>
      <c r="P109" s="349"/>
      <c r="Q109" s="356"/>
      <c r="R109" s="352"/>
      <c r="S109" s="357"/>
      <c r="T109" s="354"/>
      <c r="U109" s="349"/>
      <c r="V109" s="393"/>
      <c r="W109" s="315"/>
      <c r="X109" s="349"/>
      <c r="Y109" s="350"/>
      <c r="Z109" s="349"/>
      <c r="AA109" s="356"/>
      <c r="AB109" s="352"/>
      <c r="AC109" s="353"/>
      <c r="AD109" s="354"/>
      <c r="AE109" s="349"/>
      <c r="AF109" s="218"/>
      <c r="AG109" s="219"/>
      <c r="AH109" s="308"/>
      <c r="AI109" s="208"/>
      <c r="AJ109" s="213" t="s">
        <v>18</v>
      </c>
      <c r="AK109" s="213"/>
      <c r="AL109" s="213"/>
      <c r="AM109" s="222"/>
      <c r="AN109" s="215">
        <f>AI20/(1-AN106-AN107)</f>
        <v>0</v>
      </c>
      <c r="AO109" s="216">
        <f>AO108*AN109</f>
        <v>0</v>
      </c>
      <c r="AP109" s="217"/>
      <c r="AQ109" t="s">
        <v>84</v>
      </c>
    </row>
    <row r="110" spans="1:45" x14ac:dyDescent="0.3">
      <c r="A110" s="314"/>
      <c r="B110" s="393"/>
      <c r="C110" s="315"/>
      <c r="D110" s="314"/>
      <c r="E110" s="316"/>
      <c r="F110" s="314"/>
      <c r="G110" s="317"/>
      <c r="H110" s="318"/>
      <c r="I110" s="353"/>
      <c r="J110" s="317"/>
      <c r="K110" s="314"/>
      <c r="L110" s="393"/>
      <c r="M110" s="315"/>
      <c r="N110" s="314"/>
      <c r="O110" s="316"/>
      <c r="P110" s="314"/>
      <c r="Q110" s="317"/>
      <c r="R110" s="318"/>
      <c r="S110" s="353"/>
      <c r="T110" s="317"/>
      <c r="U110" s="314"/>
      <c r="V110" s="393"/>
      <c r="W110" s="315"/>
      <c r="X110" s="314"/>
      <c r="Y110" s="316"/>
      <c r="Z110" s="314"/>
      <c r="AA110" s="317"/>
      <c r="AB110" s="318"/>
      <c r="AC110" s="353"/>
      <c r="AD110" s="317"/>
      <c r="AE110" s="314"/>
      <c r="AF110" s="136"/>
      <c r="AG110" s="40"/>
      <c r="AH110" s="308"/>
      <c r="AI110" s="58"/>
      <c r="AJ110"/>
      <c r="AK110"/>
      <c r="AL110"/>
      <c r="AM110" s="20"/>
      <c r="AN110" s="40"/>
      <c r="AO110" s="223"/>
      <c r="AP110" s="20"/>
    </row>
    <row r="111" spans="1:45" x14ac:dyDescent="0.3">
      <c r="A111" s="314"/>
      <c r="B111" s="393"/>
      <c r="C111" s="325"/>
      <c r="D111" s="320"/>
      <c r="E111" s="326"/>
      <c r="F111" s="320"/>
      <c r="G111" s="321"/>
      <c r="H111" s="328"/>
      <c r="I111" s="338"/>
      <c r="J111" s="321"/>
      <c r="K111" s="320"/>
      <c r="L111" s="393"/>
      <c r="M111" s="325"/>
      <c r="N111" s="320"/>
      <c r="O111" s="326"/>
      <c r="P111" s="320"/>
      <c r="Q111" s="321"/>
      <c r="R111" s="328"/>
      <c r="S111" s="338"/>
      <c r="T111" s="321"/>
      <c r="U111" s="320"/>
      <c r="V111" s="393"/>
      <c r="W111" s="325"/>
      <c r="X111" s="320"/>
      <c r="Y111" s="326"/>
      <c r="Z111" s="320"/>
      <c r="AA111" s="321"/>
      <c r="AB111" s="328"/>
      <c r="AC111" s="338"/>
      <c r="AD111" s="321"/>
      <c r="AE111" s="320"/>
      <c r="AF111" s="221"/>
      <c r="AG111" s="142"/>
      <c r="AH111" s="308"/>
      <c r="AI111" s="186"/>
      <c r="AJ111" s="187" t="s">
        <v>85</v>
      </c>
      <c r="AK111" s="187"/>
      <c r="AL111" s="187"/>
      <c r="AM111" s="189"/>
      <c r="AN111" s="195"/>
      <c r="AO111" s="190">
        <f>AO108-AO109</f>
        <v>14416.723118129697</v>
      </c>
      <c r="AP111" s="139"/>
    </row>
    <row r="112" spans="1:45" x14ac:dyDescent="0.3">
      <c r="A112" s="314"/>
      <c r="B112" s="393"/>
      <c r="C112" s="315"/>
      <c r="D112" s="314"/>
      <c r="E112" s="316"/>
      <c r="F112" s="314"/>
      <c r="G112" s="317"/>
      <c r="H112" s="318"/>
      <c r="I112" s="319"/>
      <c r="J112" s="317"/>
      <c r="K112" s="314"/>
      <c r="L112" s="393"/>
      <c r="M112" s="315"/>
      <c r="N112" s="314"/>
      <c r="O112" s="316"/>
      <c r="P112" s="314"/>
      <c r="Q112" s="317"/>
      <c r="R112" s="318"/>
      <c r="S112" s="319"/>
      <c r="T112" s="317"/>
      <c r="U112" s="314"/>
      <c r="V112" s="393"/>
      <c r="W112" s="315"/>
      <c r="X112" s="314"/>
      <c r="Y112" s="316"/>
      <c r="Z112" s="314"/>
      <c r="AA112" s="317"/>
      <c r="AB112" s="318"/>
      <c r="AC112" s="319"/>
      <c r="AD112" s="317"/>
      <c r="AE112" s="314"/>
      <c r="AF112" s="136"/>
      <c r="AG112" s="40"/>
      <c r="AH112" s="308"/>
      <c r="AI112" s="58"/>
      <c r="AJ112"/>
      <c r="AK112"/>
      <c r="AL112"/>
      <c r="AM112" s="20"/>
      <c r="AN112" s="40"/>
      <c r="AO112" s="41"/>
      <c r="AP112" s="20"/>
    </row>
    <row r="113" spans="1:45" x14ac:dyDescent="0.3">
      <c r="A113" s="314"/>
      <c r="B113" s="393"/>
      <c r="C113" s="315"/>
      <c r="D113" s="314"/>
      <c r="E113" s="316"/>
      <c r="F113" s="314"/>
      <c r="G113" s="317"/>
      <c r="H113" s="318"/>
      <c r="I113" s="319"/>
      <c r="J113" s="317"/>
      <c r="K113" s="314"/>
      <c r="L113" s="393"/>
      <c r="M113" s="315"/>
      <c r="N113" s="314"/>
      <c r="O113" s="316"/>
      <c r="P113" s="314"/>
      <c r="Q113" s="317"/>
      <c r="R113" s="318"/>
      <c r="S113" s="319"/>
      <c r="T113" s="317"/>
      <c r="U113" s="314"/>
      <c r="V113" s="393"/>
      <c r="W113" s="315"/>
      <c r="X113" s="314"/>
      <c r="Y113" s="316"/>
      <c r="Z113" s="314"/>
      <c r="AA113" s="317"/>
      <c r="AB113" s="318"/>
      <c r="AC113" s="319"/>
      <c r="AD113" s="317"/>
      <c r="AE113" s="314"/>
      <c r="AF113" s="136"/>
      <c r="AG113" s="40"/>
      <c r="AH113" s="308"/>
      <c r="AI113" s="86" t="s">
        <v>86</v>
      </c>
      <c r="AJ113" s="87" t="s">
        <v>87</v>
      </c>
      <c r="AK113" s="87"/>
      <c r="AL113" s="87"/>
      <c r="AM113" s="89"/>
      <c r="AN113" s="90"/>
      <c r="AO113" s="91"/>
      <c r="AP113" s="20"/>
    </row>
    <row r="114" spans="1:45" x14ac:dyDescent="0.3">
      <c r="A114" s="314"/>
      <c r="B114" s="393"/>
      <c r="C114" s="315"/>
      <c r="D114" s="349"/>
      <c r="E114" s="350"/>
      <c r="F114" s="349"/>
      <c r="G114" s="356"/>
      <c r="H114" s="358"/>
      <c r="I114" s="359"/>
      <c r="J114" s="317"/>
      <c r="K114" s="349"/>
      <c r="L114" s="393"/>
      <c r="M114" s="315"/>
      <c r="N114" s="349"/>
      <c r="O114" s="350"/>
      <c r="P114" s="349"/>
      <c r="Q114" s="356"/>
      <c r="R114" s="358"/>
      <c r="S114" s="359"/>
      <c r="T114" s="317"/>
      <c r="U114" s="349"/>
      <c r="V114" s="393"/>
      <c r="W114" s="315"/>
      <c r="X114" s="349"/>
      <c r="Y114" s="350"/>
      <c r="Z114" s="349"/>
      <c r="AA114" s="356"/>
      <c r="AB114" s="358"/>
      <c r="AC114" s="359"/>
      <c r="AD114" s="317"/>
      <c r="AE114" s="349"/>
      <c r="AF114" s="136"/>
      <c r="AG114" s="40"/>
      <c r="AH114" s="308"/>
      <c r="AI114" s="86"/>
      <c r="AJ114" s="224" t="s">
        <v>88</v>
      </c>
      <c r="AK114" s="224"/>
      <c r="AL114" s="224"/>
      <c r="AM114" s="225"/>
      <c r="AN114" s="226"/>
      <c r="AO114" s="227">
        <f>AO5</f>
        <v>6753.75</v>
      </c>
      <c r="AP114" s="20"/>
      <c r="AQ114" t="s">
        <v>89</v>
      </c>
      <c r="AS114" s="228"/>
    </row>
    <row r="115" spans="1:45" x14ac:dyDescent="0.3">
      <c r="A115" s="314"/>
      <c r="B115" s="393"/>
      <c r="C115" s="325"/>
      <c r="D115" s="320"/>
      <c r="E115" s="326"/>
      <c r="F115" s="320"/>
      <c r="G115" s="321"/>
      <c r="H115" s="328"/>
      <c r="I115" s="360"/>
      <c r="J115" s="321"/>
      <c r="K115" s="320"/>
      <c r="L115" s="393"/>
      <c r="M115" s="325"/>
      <c r="N115" s="320"/>
      <c r="O115" s="326"/>
      <c r="P115" s="320"/>
      <c r="Q115" s="321"/>
      <c r="R115" s="328"/>
      <c r="S115" s="360"/>
      <c r="T115" s="321"/>
      <c r="U115" s="320"/>
      <c r="V115" s="393"/>
      <c r="W115" s="325"/>
      <c r="X115" s="320"/>
      <c r="Y115" s="326"/>
      <c r="Z115" s="320"/>
      <c r="AA115" s="321"/>
      <c r="AB115" s="328"/>
      <c r="AC115" s="360"/>
      <c r="AD115" s="321"/>
      <c r="AE115" s="320"/>
      <c r="AF115" s="221"/>
      <c r="AG115" s="142"/>
      <c r="AH115" s="308"/>
      <c r="AI115" s="186"/>
      <c r="AJ115" s="187" t="s">
        <v>90</v>
      </c>
      <c r="AK115" s="187"/>
      <c r="AL115" s="187"/>
      <c r="AM115" s="189"/>
      <c r="AN115" s="195"/>
      <c r="AO115" s="229">
        <f>AO111-AO114</f>
        <v>7662.9731181296975</v>
      </c>
      <c r="AP115" s="139"/>
      <c r="AS115" s="228"/>
    </row>
    <row r="116" spans="1:45" x14ac:dyDescent="0.3">
      <c r="A116" s="314"/>
      <c r="B116" s="393"/>
      <c r="C116" s="315"/>
      <c r="D116" s="349"/>
      <c r="E116" s="350"/>
      <c r="F116" s="349"/>
      <c r="G116" s="356"/>
      <c r="H116" s="358"/>
      <c r="I116" s="361"/>
      <c r="J116" s="317"/>
      <c r="K116" s="349"/>
      <c r="L116" s="393"/>
      <c r="M116" s="315"/>
      <c r="N116" s="349"/>
      <c r="O116" s="350"/>
      <c r="P116" s="349"/>
      <c r="Q116" s="356"/>
      <c r="R116" s="358"/>
      <c r="S116" s="361"/>
      <c r="T116" s="317"/>
      <c r="U116" s="349"/>
      <c r="V116" s="393"/>
      <c r="W116" s="315"/>
      <c r="X116" s="349"/>
      <c r="Y116" s="350"/>
      <c r="Z116" s="349"/>
      <c r="AA116" s="356"/>
      <c r="AB116" s="358"/>
      <c r="AC116" s="361"/>
      <c r="AD116" s="317"/>
      <c r="AE116" s="349"/>
      <c r="AF116" s="136"/>
      <c r="AG116" s="40"/>
      <c r="AH116" s="308"/>
      <c r="AI116" s="86"/>
      <c r="AJ116" s="224" t="s">
        <v>7</v>
      </c>
      <c r="AK116" s="224"/>
      <c r="AL116" s="224"/>
      <c r="AM116" s="225"/>
      <c r="AN116" s="226"/>
      <c r="AO116" s="230">
        <f>AO7</f>
        <v>1781.0641186299083</v>
      </c>
      <c r="AP116" s="20"/>
      <c r="AQ116" t="s">
        <v>91</v>
      </c>
    </row>
    <row r="117" spans="1:45" x14ac:dyDescent="0.3">
      <c r="A117" s="314"/>
      <c r="B117" s="393"/>
      <c r="C117" s="315"/>
      <c r="D117" s="349"/>
      <c r="E117" s="350"/>
      <c r="F117" s="349"/>
      <c r="G117" s="356"/>
      <c r="H117" s="358"/>
      <c r="I117" s="361"/>
      <c r="J117" s="317"/>
      <c r="K117" s="349"/>
      <c r="L117" s="393"/>
      <c r="M117" s="315"/>
      <c r="N117" s="349"/>
      <c r="O117" s="350"/>
      <c r="P117" s="349"/>
      <c r="Q117" s="356"/>
      <c r="R117" s="358"/>
      <c r="S117" s="361"/>
      <c r="T117" s="317"/>
      <c r="U117" s="349"/>
      <c r="V117" s="393"/>
      <c r="W117" s="315"/>
      <c r="X117" s="349"/>
      <c r="Y117" s="350"/>
      <c r="Z117" s="349"/>
      <c r="AA117" s="356"/>
      <c r="AB117" s="358"/>
      <c r="AC117" s="361"/>
      <c r="AD117" s="317"/>
      <c r="AE117" s="349"/>
      <c r="AF117" s="136"/>
      <c r="AG117" s="40"/>
      <c r="AH117" s="308"/>
      <c r="AI117" s="86"/>
      <c r="AJ117" s="224" t="s">
        <v>8</v>
      </c>
      <c r="AK117" s="224"/>
      <c r="AL117" s="224"/>
      <c r="AM117" s="225"/>
      <c r="AN117" s="226"/>
      <c r="AO117" s="230">
        <f>AO8</f>
        <v>1954.0925229741022</v>
      </c>
      <c r="AP117" s="20"/>
      <c r="AQ117" t="s">
        <v>91</v>
      </c>
    </row>
    <row r="118" spans="1:45" x14ac:dyDescent="0.3">
      <c r="A118" s="314"/>
      <c r="B118" s="393"/>
      <c r="C118" s="315"/>
      <c r="D118" s="349"/>
      <c r="E118" s="350"/>
      <c r="F118" s="349"/>
      <c r="G118" s="356"/>
      <c r="H118" s="358"/>
      <c r="I118" s="361"/>
      <c r="J118" s="317"/>
      <c r="K118" s="349"/>
      <c r="L118" s="393"/>
      <c r="M118" s="315"/>
      <c r="N118" s="349"/>
      <c r="O118" s="350"/>
      <c r="P118" s="349"/>
      <c r="Q118" s="356"/>
      <c r="R118" s="358"/>
      <c r="S118" s="361"/>
      <c r="T118" s="317"/>
      <c r="U118" s="349"/>
      <c r="V118" s="393"/>
      <c r="W118" s="315"/>
      <c r="X118" s="349"/>
      <c r="Y118" s="350"/>
      <c r="Z118" s="349"/>
      <c r="AA118" s="356"/>
      <c r="AB118" s="358"/>
      <c r="AC118" s="361"/>
      <c r="AD118" s="317"/>
      <c r="AE118" s="349"/>
      <c r="AF118" s="136"/>
      <c r="AG118" s="40"/>
      <c r="AH118" s="308"/>
      <c r="AI118" s="86"/>
      <c r="AJ118" s="224" t="s">
        <v>9</v>
      </c>
      <c r="AK118" s="224"/>
      <c r="AL118" s="224"/>
      <c r="AM118" s="225"/>
      <c r="AN118" s="226"/>
      <c r="AO118" s="230">
        <f>AO9</f>
        <v>1205.5565998329157</v>
      </c>
      <c r="AP118" s="20"/>
      <c r="AQ118" t="s">
        <v>91</v>
      </c>
    </row>
    <row r="119" spans="1:45" x14ac:dyDescent="0.3">
      <c r="A119" s="314"/>
      <c r="B119" s="393"/>
      <c r="C119" s="315"/>
      <c r="D119" s="349"/>
      <c r="E119" s="350"/>
      <c r="F119" s="349"/>
      <c r="G119" s="356"/>
      <c r="H119" s="358"/>
      <c r="I119" s="361"/>
      <c r="J119" s="317"/>
      <c r="K119" s="349"/>
      <c r="L119" s="393"/>
      <c r="M119" s="315"/>
      <c r="N119" s="349"/>
      <c r="O119" s="350"/>
      <c r="P119" s="349"/>
      <c r="Q119" s="356"/>
      <c r="R119" s="358"/>
      <c r="S119" s="361"/>
      <c r="T119" s="317"/>
      <c r="U119" s="349"/>
      <c r="V119" s="393"/>
      <c r="W119" s="315"/>
      <c r="X119" s="349"/>
      <c r="Y119" s="350"/>
      <c r="Z119" s="349"/>
      <c r="AA119" s="356"/>
      <c r="AB119" s="358"/>
      <c r="AC119" s="361"/>
      <c r="AD119" s="317"/>
      <c r="AE119" s="349"/>
      <c r="AF119" s="136"/>
      <c r="AG119" s="40"/>
      <c r="AH119" s="308"/>
      <c r="AI119" s="86"/>
      <c r="AJ119" s="224" t="s">
        <v>10</v>
      </c>
      <c r="AK119" s="224"/>
      <c r="AL119" s="224"/>
      <c r="AM119" s="225"/>
      <c r="AN119" s="226"/>
      <c r="AO119" s="230">
        <f>AO10</f>
        <v>78.991228070175438</v>
      </c>
      <c r="AP119" s="20"/>
      <c r="AQ119" t="s">
        <v>91</v>
      </c>
    </row>
    <row r="120" spans="1:45" x14ac:dyDescent="0.3">
      <c r="A120" s="314"/>
      <c r="B120" s="393"/>
      <c r="C120" s="315"/>
      <c r="D120" s="349"/>
      <c r="E120" s="350"/>
      <c r="F120" s="349"/>
      <c r="G120" s="356"/>
      <c r="H120" s="358"/>
      <c r="I120" s="353"/>
      <c r="J120" s="317"/>
      <c r="K120" s="349"/>
      <c r="L120" s="393"/>
      <c r="M120" s="315"/>
      <c r="N120" s="349"/>
      <c r="O120" s="350"/>
      <c r="P120" s="349"/>
      <c r="Q120" s="356"/>
      <c r="R120" s="358"/>
      <c r="S120" s="353"/>
      <c r="T120" s="317"/>
      <c r="U120" s="349"/>
      <c r="V120" s="393"/>
      <c r="W120" s="315"/>
      <c r="X120" s="349"/>
      <c r="Y120" s="350"/>
      <c r="Z120" s="349"/>
      <c r="AA120" s="356"/>
      <c r="AB120" s="358"/>
      <c r="AC120" s="353"/>
      <c r="AD120" s="317"/>
      <c r="AE120" s="349"/>
      <c r="AF120" s="136"/>
      <c r="AG120" s="40"/>
      <c r="AH120" s="308"/>
      <c r="AI120" s="58"/>
      <c r="AJ120" s="36"/>
      <c r="AK120" s="36"/>
      <c r="AL120" s="36"/>
      <c r="AM120" s="231"/>
      <c r="AN120" s="232"/>
      <c r="AO120" s="223"/>
      <c r="AP120" s="20"/>
    </row>
    <row r="121" spans="1:45" x14ac:dyDescent="0.3">
      <c r="A121" s="314"/>
      <c r="B121" s="393"/>
      <c r="C121" s="315"/>
      <c r="D121" s="362"/>
      <c r="E121" s="363"/>
      <c r="F121" s="362"/>
      <c r="G121" s="364"/>
      <c r="H121" s="328"/>
      <c r="I121" s="365"/>
      <c r="J121" s="317"/>
      <c r="K121" s="349"/>
      <c r="L121" s="393"/>
      <c r="M121" s="315"/>
      <c r="N121" s="362"/>
      <c r="O121" s="363"/>
      <c r="P121" s="362"/>
      <c r="Q121" s="364"/>
      <c r="R121" s="328"/>
      <c r="S121" s="365"/>
      <c r="T121" s="317"/>
      <c r="U121" s="349"/>
      <c r="V121" s="393"/>
      <c r="W121" s="315"/>
      <c r="X121" s="362"/>
      <c r="Y121" s="363"/>
      <c r="Z121" s="362"/>
      <c r="AA121" s="364"/>
      <c r="AB121" s="328"/>
      <c r="AC121" s="365"/>
      <c r="AD121" s="317"/>
      <c r="AE121" s="349"/>
      <c r="AF121" s="136"/>
      <c r="AG121" s="40"/>
      <c r="AH121" s="308"/>
      <c r="AI121" s="233"/>
      <c r="AJ121" s="234" t="s">
        <v>92</v>
      </c>
      <c r="AK121" s="235"/>
      <c r="AL121" s="234"/>
      <c r="AM121" s="236"/>
      <c r="AN121" s="237"/>
      <c r="AO121" s="238">
        <f>AO115-SUM(AO116:AO119)</f>
        <v>2643.2686486225957</v>
      </c>
      <c r="AP121" s="20"/>
    </row>
    <row r="122" spans="1:45" x14ac:dyDescent="0.3">
      <c r="A122" s="314"/>
      <c r="B122" s="393"/>
      <c r="C122" s="366"/>
      <c r="D122" s="320"/>
      <c r="E122" s="326"/>
      <c r="F122" s="320"/>
      <c r="G122" s="321"/>
      <c r="H122" s="328"/>
      <c r="I122" s="338"/>
      <c r="J122" s="317"/>
      <c r="K122" s="349"/>
      <c r="L122" s="393"/>
      <c r="M122" s="366"/>
      <c r="N122" s="320"/>
      <c r="O122" s="326"/>
      <c r="P122" s="320"/>
      <c r="Q122" s="321"/>
      <c r="R122" s="328"/>
      <c r="S122" s="338"/>
      <c r="T122" s="317"/>
      <c r="U122" s="349"/>
      <c r="V122" s="393"/>
      <c r="W122" s="366"/>
      <c r="X122" s="320"/>
      <c r="Y122" s="326"/>
      <c r="Z122" s="320"/>
      <c r="AA122" s="321"/>
      <c r="AB122" s="328"/>
      <c r="AC122" s="338"/>
      <c r="AD122" s="317"/>
      <c r="AE122" s="349"/>
      <c r="AF122" s="136"/>
      <c r="AG122" s="40"/>
      <c r="AH122" s="308"/>
      <c r="AI122" s="239">
        <f>AI12</f>
        <v>0.03</v>
      </c>
      <c r="AJ122" s="240" t="s">
        <v>11</v>
      </c>
      <c r="AK122" s="241"/>
      <c r="AL122" s="240"/>
      <c r="AM122" s="242"/>
      <c r="AN122" s="243"/>
      <c r="AO122" s="244">
        <f>AO101*AI122</f>
        <v>521.08637776372404</v>
      </c>
      <c r="AP122" s="20"/>
    </row>
    <row r="123" spans="1:45" x14ac:dyDescent="0.3">
      <c r="A123" s="314"/>
      <c r="B123" s="393"/>
      <c r="C123" s="315"/>
      <c r="D123" s="362"/>
      <c r="E123" s="363"/>
      <c r="F123" s="362"/>
      <c r="G123" s="364"/>
      <c r="H123" s="328"/>
      <c r="I123" s="365"/>
      <c r="J123" s="328"/>
      <c r="K123" s="362"/>
      <c r="L123" s="393"/>
      <c r="M123" s="315"/>
      <c r="N123" s="362"/>
      <c r="O123" s="363"/>
      <c r="P123" s="362"/>
      <c r="Q123" s="364"/>
      <c r="R123" s="328"/>
      <c r="S123" s="365"/>
      <c r="T123" s="328"/>
      <c r="U123" s="362"/>
      <c r="V123" s="393"/>
      <c r="W123" s="315"/>
      <c r="X123" s="362"/>
      <c r="Y123" s="363"/>
      <c r="Z123" s="362"/>
      <c r="AA123" s="364"/>
      <c r="AB123" s="328"/>
      <c r="AC123" s="365"/>
      <c r="AD123" s="328"/>
      <c r="AE123" s="362"/>
      <c r="AF123" s="221"/>
      <c r="AG123" s="142"/>
      <c r="AH123" s="308"/>
      <c r="AI123" s="233"/>
      <c r="AJ123" s="234" t="s">
        <v>92</v>
      </c>
      <c r="AK123" s="235"/>
      <c r="AL123" s="234"/>
      <c r="AM123" s="236"/>
      <c r="AN123" s="237"/>
      <c r="AO123" s="238">
        <f>AO121-SUM(AO122)</f>
        <v>2122.1822708588716</v>
      </c>
      <c r="AP123" s="142"/>
    </row>
    <row r="124" spans="1:45" x14ac:dyDescent="0.3">
      <c r="A124" s="314"/>
      <c r="B124" s="393"/>
      <c r="C124" s="315"/>
      <c r="D124" s="314"/>
      <c r="E124" s="316"/>
      <c r="F124" s="314"/>
      <c r="G124" s="317"/>
      <c r="H124" s="318"/>
      <c r="I124" s="319"/>
      <c r="J124" s="317"/>
      <c r="K124" s="314"/>
      <c r="L124" s="393"/>
      <c r="M124" s="315"/>
      <c r="N124" s="314"/>
      <c r="O124" s="316"/>
      <c r="P124" s="314"/>
      <c r="Q124" s="317"/>
      <c r="R124" s="318"/>
      <c r="S124" s="319"/>
      <c r="T124" s="317"/>
      <c r="U124" s="314"/>
      <c r="V124" s="393"/>
      <c r="W124" s="315"/>
      <c r="X124" s="314"/>
      <c r="Y124" s="316"/>
      <c r="Z124" s="314"/>
      <c r="AA124" s="317"/>
      <c r="AB124" s="318"/>
      <c r="AC124" s="319"/>
      <c r="AD124" s="317"/>
      <c r="AE124" s="314"/>
      <c r="AH124" s="308"/>
      <c r="AI124" s="58"/>
      <c r="AJ124"/>
      <c r="AK124"/>
      <c r="AL124"/>
      <c r="AM124" s="20"/>
      <c r="AN124" s="40"/>
      <c r="AO124" s="41"/>
      <c r="AP124" s="20"/>
    </row>
    <row r="125" spans="1:45" x14ac:dyDescent="0.3">
      <c r="A125" s="314"/>
      <c r="B125" s="393"/>
      <c r="C125" s="315"/>
      <c r="D125" s="314"/>
      <c r="E125" s="316"/>
      <c r="F125" s="314"/>
      <c r="G125" s="317"/>
      <c r="H125" s="318"/>
      <c r="I125" s="319"/>
      <c r="J125" s="317"/>
      <c r="K125" s="314"/>
      <c r="L125" s="393"/>
      <c r="M125" s="315"/>
      <c r="N125" s="314"/>
      <c r="O125" s="316"/>
      <c r="P125" s="314"/>
      <c r="Q125" s="317"/>
      <c r="R125" s="318"/>
      <c r="S125" s="319"/>
      <c r="T125" s="317"/>
      <c r="U125" s="314"/>
      <c r="V125" s="393"/>
      <c r="W125" s="315"/>
      <c r="X125" s="314"/>
      <c r="Y125" s="316"/>
      <c r="Z125" s="314"/>
      <c r="AA125" s="317"/>
      <c r="AB125" s="318"/>
      <c r="AC125" s="319"/>
      <c r="AD125" s="317"/>
      <c r="AE125" s="314"/>
      <c r="AF125" s="21"/>
      <c r="AG125" s="20"/>
      <c r="AH125" s="308"/>
      <c r="AI125" s="245" t="s">
        <v>93</v>
      </c>
      <c r="AJ125" s="246" t="s">
        <v>94</v>
      </c>
      <c r="AK125" s="246"/>
      <c r="AL125" s="246"/>
      <c r="AM125" s="248" t="s">
        <v>95</v>
      </c>
      <c r="AN125" s="249"/>
      <c r="AO125" s="250"/>
      <c r="AP125" s="20"/>
    </row>
    <row r="126" spans="1:45" x14ac:dyDescent="0.3">
      <c r="A126" s="314"/>
      <c r="B126" s="393"/>
      <c r="C126" s="346"/>
      <c r="D126" s="314"/>
      <c r="E126" s="346"/>
      <c r="F126" s="314"/>
      <c r="G126" s="367"/>
      <c r="H126" s="318"/>
      <c r="I126" s="319"/>
      <c r="J126" s="346"/>
      <c r="K126" s="314"/>
      <c r="L126" s="393"/>
      <c r="M126" s="346"/>
      <c r="N126" s="314"/>
      <c r="O126" s="316"/>
      <c r="P126" s="314"/>
      <c r="Q126" s="367"/>
      <c r="R126" s="318"/>
      <c r="S126" s="319"/>
      <c r="T126" s="317"/>
      <c r="U126" s="314"/>
      <c r="V126" s="393"/>
      <c r="W126" s="346"/>
      <c r="X126" s="314"/>
      <c r="Y126" s="316"/>
      <c r="Z126" s="314"/>
      <c r="AA126" s="367"/>
      <c r="AB126" s="318"/>
      <c r="AC126" s="319"/>
      <c r="AD126" s="317"/>
      <c r="AE126" s="314"/>
      <c r="AF126" s="62"/>
      <c r="AG126" s="63"/>
      <c r="AH126" s="308"/>
      <c r="AI126" s="252">
        <f>AO126/AO131</f>
        <v>3.510871811175751E-2</v>
      </c>
      <c r="AJ126" s="246" t="s">
        <v>12</v>
      </c>
      <c r="AK126" s="251">
        <v>0.05</v>
      </c>
      <c r="AL126" s="246"/>
      <c r="AM126" s="252">
        <f>AK126/AK130</f>
        <v>0.28735632183908039</v>
      </c>
      <c r="AN126" s="249"/>
      <c r="AO126" s="250">
        <f>$AO$123*AM126</f>
        <v>609.82249162611231</v>
      </c>
      <c r="AP126" s="253">
        <f>AO126/AO131</f>
        <v>3.510871811175751E-2</v>
      </c>
      <c r="AQ126" t="s">
        <v>96</v>
      </c>
    </row>
    <row r="127" spans="1:45" x14ac:dyDescent="0.3">
      <c r="A127" s="314"/>
      <c r="B127" s="393"/>
      <c r="C127" s="346"/>
      <c r="D127" s="314"/>
      <c r="E127" s="346"/>
      <c r="F127" s="314"/>
      <c r="G127" s="367"/>
      <c r="H127" s="318"/>
      <c r="I127" s="319"/>
      <c r="J127" s="346"/>
      <c r="K127" s="314"/>
      <c r="L127" s="393"/>
      <c r="M127" s="346"/>
      <c r="N127" s="314"/>
      <c r="O127" s="316"/>
      <c r="P127" s="314"/>
      <c r="Q127" s="367"/>
      <c r="R127" s="318"/>
      <c r="S127" s="319"/>
      <c r="T127" s="317"/>
      <c r="U127" s="314"/>
      <c r="V127" s="393"/>
      <c r="W127" s="346"/>
      <c r="X127" s="314"/>
      <c r="Y127" s="316"/>
      <c r="Z127" s="314"/>
      <c r="AA127" s="367"/>
      <c r="AB127" s="318"/>
      <c r="AC127" s="319"/>
      <c r="AD127" s="317"/>
      <c r="AE127" s="314"/>
      <c r="AF127" s="62"/>
      <c r="AG127" s="63"/>
      <c r="AH127" s="308"/>
      <c r="AI127" s="252">
        <f>AO127/AO131</f>
        <v>7.021743622351502E-2</v>
      </c>
      <c r="AJ127" s="246" t="s">
        <v>13</v>
      </c>
      <c r="AK127" s="251">
        <v>0.1</v>
      </c>
      <c r="AL127" s="246"/>
      <c r="AM127" s="252">
        <f>AK127/AK130</f>
        <v>0.57471264367816077</v>
      </c>
      <c r="AN127" s="249"/>
      <c r="AO127" s="250">
        <f>$AO$123*AM127</f>
        <v>1219.6449832522246</v>
      </c>
      <c r="AP127" s="253">
        <f>AO127/AO131</f>
        <v>7.021743622351502E-2</v>
      </c>
      <c r="AQ127" t="s">
        <v>97</v>
      </c>
    </row>
    <row r="128" spans="1:45" x14ac:dyDescent="0.3">
      <c r="A128" s="314"/>
      <c r="B128" s="393"/>
      <c r="C128" s="346"/>
      <c r="D128" s="314"/>
      <c r="E128" s="346"/>
      <c r="F128" s="314"/>
      <c r="G128" s="367"/>
      <c r="H128" s="318"/>
      <c r="I128" s="319"/>
      <c r="J128" s="346"/>
      <c r="K128" s="314"/>
      <c r="L128" s="393"/>
      <c r="M128" s="346"/>
      <c r="N128" s="314"/>
      <c r="O128" s="316"/>
      <c r="P128" s="314"/>
      <c r="Q128" s="367"/>
      <c r="R128" s="318"/>
      <c r="S128" s="319"/>
      <c r="T128" s="317"/>
      <c r="U128" s="314"/>
      <c r="V128" s="393"/>
      <c r="W128" s="346"/>
      <c r="X128" s="314"/>
      <c r="Y128" s="316"/>
      <c r="Z128" s="314"/>
      <c r="AA128" s="367"/>
      <c r="AB128" s="318"/>
      <c r="AC128" s="319"/>
      <c r="AD128" s="317"/>
      <c r="AE128" s="314"/>
      <c r="AF128" s="62"/>
      <c r="AG128" s="63"/>
      <c r="AH128" s="308"/>
      <c r="AI128" s="252">
        <f>AO128/AO131</f>
        <v>1.0532615433527254E-2</v>
      </c>
      <c r="AJ128" s="246" t="s">
        <v>14</v>
      </c>
      <c r="AK128" s="251">
        <v>1.4999999999999999E-2</v>
      </c>
      <c r="AL128" s="246"/>
      <c r="AM128" s="252">
        <f>AK128/AK130</f>
        <v>8.6206896551724116E-2</v>
      </c>
      <c r="AN128" s="249"/>
      <c r="AO128" s="250">
        <f>$AO$123*AM128</f>
        <v>182.9467474878337</v>
      </c>
      <c r="AP128" s="253">
        <f>AO128/AO131</f>
        <v>1.0532615433527254E-2</v>
      </c>
      <c r="AQ128" t="s">
        <v>98</v>
      </c>
    </row>
    <row r="129" spans="1:43" x14ac:dyDescent="0.3">
      <c r="A129" s="314"/>
      <c r="B129" s="393"/>
      <c r="C129" s="346"/>
      <c r="D129" s="314"/>
      <c r="E129" s="346"/>
      <c r="F129" s="314"/>
      <c r="G129" s="367"/>
      <c r="H129" s="318"/>
      <c r="I129" s="319"/>
      <c r="J129" s="346"/>
      <c r="K129" s="314"/>
      <c r="L129" s="393"/>
      <c r="M129" s="346"/>
      <c r="N129" s="314"/>
      <c r="O129" s="316"/>
      <c r="P129" s="314"/>
      <c r="Q129" s="367"/>
      <c r="R129" s="318"/>
      <c r="S129" s="319"/>
      <c r="T129" s="317"/>
      <c r="U129" s="314"/>
      <c r="V129" s="393"/>
      <c r="W129" s="346"/>
      <c r="X129" s="314"/>
      <c r="Y129" s="316"/>
      <c r="Z129" s="314"/>
      <c r="AA129" s="367"/>
      <c r="AB129" s="318"/>
      <c r="AC129" s="319"/>
      <c r="AD129" s="317"/>
      <c r="AE129" s="314"/>
      <c r="AF129" s="62"/>
      <c r="AG129" s="63"/>
      <c r="AH129" s="308"/>
      <c r="AI129" s="252">
        <f>AO129/AO131</f>
        <v>6.3195692601163518E-3</v>
      </c>
      <c r="AJ129" s="246" t="s">
        <v>15</v>
      </c>
      <c r="AK129" s="251">
        <v>8.9999999999999993E-3</v>
      </c>
      <c r="AL129" s="246"/>
      <c r="AM129" s="252">
        <f>AK129/AK130</f>
        <v>5.1724137931034468E-2</v>
      </c>
      <c r="AN129" s="249"/>
      <c r="AO129" s="250">
        <f>$AO$123*AM129</f>
        <v>109.76804849270022</v>
      </c>
      <c r="AP129" s="253">
        <f>AO129/AO131</f>
        <v>6.3195692601163518E-3</v>
      </c>
      <c r="AQ129" t="s">
        <v>99</v>
      </c>
    </row>
    <row r="130" spans="1:43" x14ac:dyDescent="0.3">
      <c r="A130" s="314"/>
      <c r="B130" s="393"/>
      <c r="C130" s="368"/>
      <c r="D130" s="314"/>
      <c r="E130" s="316"/>
      <c r="F130" s="314"/>
      <c r="G130" s="317"/>
      <c r="H130" s="318"/>
      <c r="I130" s="319"/>
      <c r="J130" s="317"/>
      <c r="K130" s="314"/>
      <c r="L130" s="393"/>
      <c r="M130" s="368"/>
      <c r="N130" s="314"/>
      <c r="O130" s="316"/>
      <c r="P130" s="314"/>
      <c r="Q130" s="317"/>
      <c r="R130" s="318"/>
      <c r="S130" s="319"/>
      <c r="T130" s="317"/>
      <c r="U130" s="314"/>
      <c r="V130" s="393"/>
      <c r="W130" s="368"/>
      <c r="X130" s="314"/>
      <c r="Y130" s="316"/>
      <c r="Z130" s="314"/>
      <c r="AA130" s="317"/>
      <c r="AB130" s="318"/>
      <c r="AC130" s="319"/>
      <c r="AD130" s="317"/>
      <c r="AE130" s="314"/>
      <c r="AH130" s="308"/>
      <c r="AI130" s="252"/>
      <c r="AJ130" s="246"/>
      <c r="AK130" s="254">
        <f>SUM(AK126:AK129)</f>
        <v>0.17400000000000004</v>
      </c>
      <c r="AL130" s="246"/>
      <c r="AM130" s="248"/>
      <c r="AN130" s="249"/>
      <c r="AO130" s="250"/>
      <c r="AP130" s="20"/>
    </row>
    <row r="131" spans="1:43" ht="15.6" x14ac:dyDescent="0.3">
      <c r="A131" s="314"/>
      <c r="B131" s="393"/>
      <c r="C131" s="369"/>
      <c r="D131" s="370"/>
      <c r="E131" s="371"/>
      <c r="F131" s="370"/>
      <c r="G131" s="372"/>
      <c r="H131" s="373"/>
      <c r="I131" s="374"/>
      <c r="J131" s="372"/>
      <c r="K131" s="370"/>
      <c r="L131" s="393"/>
      <c r="M131" s="369"/>
      <c r="N131" s="370"/>
      <c r="O131" s="371"/>
      <c r="P131" s="370"/>
      <c r="Q131" s="372"/>
      <c r="R131" s="373"/>
      <c r="S131" s="374"/>
      <c r="T131" s="372"/>
      <c r="U131" s="370"/>
      <c r="V131" s="393"/>
      <c r="W131" s="369"/>
      <c r="X131" s="370"/>
      <c r="Y131" s="371"/>
      <c r="Z131" s="370"/>
      <c r="AA131" s="372"/>
      <c r="AB131" s="373"/>
      <c r="AC131" s="374"/>
      <c r="AD131" s="372"/>
      <c r="AE131" s="370"/>
      <c r="AF131" s="260"/>
      <c r="AG131" s="261"/>
      <c r="AH131" s="309"/>
      <c r="AI131" s="255"/>
      <c r="AJ131" s="256"/>
      <c r="AK131" s="256"/>
      <c r="AL131" s="256"/>
      <c r="AM131" s="257"/>
      <c r="AN131" s="258" t="s">
        <v>100</v>
      </c>
      <c r="AO131" s="259">
        <f>SUM(AO126:AO129,AO116:AO119,AO114,AO106:AO107,AO109,AO122)</f>
        <v>17369.545925457463</v>
      </c>
      <c r="AP131" s="79"/>
    </row>
    <row r="132" spans="1:43" x14ac:dyDescent="0.3">
      <c r="A132" s="314"/>
      <c r="B132" s="375"/>
      <c r="C132" s="315"/>
      <c r="D132" s="314"/>
      <c r="E132" s="316"/>
      <c r="F132" s="314"/>
      <c r="G132" s="317"/>
      <c r="H132" s="318"/>
      <c r="I132" s="319"/>
      <c r="J132" s="317"/>
      <c r="K132" s="314"/>
      <c r="L132" s="375"/>
      <c r="M132" s="315"/>
      <c r="N132" s="314"/>
      <c r="O132" s="316"/>
      <c r="P132" s="314"/>
      <c r="Q132" s="317"/>
      <c r="R132" s="318"/>
      <c r="S132" s="319"/>
      <c r="T132" s="317"/>
      <c r="U132" s="314"/>
      <c r="V132" s="375"/>
      <c r="W132" s="315"/>
      <c r="X132" s="314"/>
      <c r="Y132" s="316"/>
      <c r="Z132" s="314"/>
      <c r="AA132" s="317"/>
      <c r="AB132" s="318"/>
      <c r="AC132" s="319"/>
      <c r="AD132" s="317"/>
      <c r="AE132" s="314"/>
      <c r="AH132" s="262"/>
      <c r="AI132" s="58"/>
      <c r="AJ132"/>
      <c r="AK132"/>
      <c r="AL132"/>
      <c r="AM132" s="20"/>
      <c r="AN132" s="40"/>
      <c r="AO132" s="41"/>
      <c r="AP132" s="20"/>
    </row>
    <row r="133" spans="1:43" ht="14.4" customHeight="1" x14ac:dyDescent="0.3">
      <c r="A133" s="314"/>
      <c r="B133" s="393"/>
      <c r="C133" s="315"/>
      <c r="D133" s="392"/>
      <c r="E133" s="392"/>
      <c r="F133" s="392"/>
      <c r="G133" s="392"/>
      <c r="H133" s="392"/>
      <c r="I133" s="392"/>
      <c r="J133" s="317"/>
      <c r="K133" s="376"/>
      <c r="L133" s="393"/>
      <c r="M133" s="315"/>
      <c r="N133" s="392"/>
      <c r="O133" s="392"/>
      <c r="P133" s="392"/>
      <c r="Q133" s="392"/>
      <c r="R133" s="392"/>
      <c r="S133" s="392"/>
      <c r="T133" s="317"/>
      <c r="U133" s="376"/>
      <c r="V133" s="393"/>
      <c r="W133" s="315"/>
      <c r="X133" s="392"/>
      <c r="Y133" s="392"/>
      <c r="Z133" s="392"/>
      <c r="AA133" s="392"/>
      <c r="AB133" s="392"/>
      <c r="AC133" s="392"/>
      <c r="AD133" s="317"/>
      <c r="AE133" s="376"/>
      <c r="AF133" s="265"/>
      <c r="AG133" s="264"/>
      <c r="AH133" s="307" t="s">
        <v>101</v>
      </c>
      <c r="AI133" s="263"/>
      <c r="AJ133" s="310" t="s">
        <v>102</v>
      </c>
      <c r="AK133" s="310"/>
      <c r="AL133" s="310"/>
      <c r="AM133" s="310"/>
      <c r="AN133" s="310"/>
      <c r="AO133" s="311"/>
      <c r="AP133" s="20"/>
    </row>
    <row r="134" spans="1:43" x14ac:dyDescent="0.3">
      <c r="A134" s="314"/>
      <c r="B134" s="393"/>
      <c r="C134" s="355"/>
      <c r="D134" s="320"/>
      <c r="E134" s="377"/>
      <c r="F134" s="320"/>
      <c r="G134" s="378"/>
      <c r="H134" s="379"/>
      <c r="I134" s="338"/>
      <c r="J134" s="380"/>
      <c r="K134" s="320"/>
      <c r="L134" s="393"/>
      <c r="M134" s="355"/>
      <c r="N134" s="320"/>
      <c r="O134" s="326"/>
      <c r="P134" s="320"/>
      <c r="Q134" s="378"/>
      <c r="R134" s="379"/>
      <c r="S134" s="338"/>
      <c r="T134" s="380"/>
      <c r="U134" s="320"/>
      <c r="V134" s="393"/>
      <c r="W134" s="355"/>
      <c r="X134" s="320"/>
      <c r="Y134" s="326"/>
      <c r="Z134" s="320"/>
      <c r="AA134" s="378"/>
      <c r="AB134" s="379"/>
      <c r="AC134" s="338"/>
      <c r="AD134" s="380"/>
      <c r="AE134" s="320"/>
      <c r="AF134" s="272"/>
      <c r="AG134" s="273"/>
      <c r="AH134" s="308"/>
      <c r="AI134" s="266">
        <f>AI27</f>
        <v>0</v>
      </c>
      <c r="AJ134" s="267" t="s">
        <v>25</v>
      </c>
      <c r="AK134" s="267"/>
      <c r="AL134" s="267"/>
      <c r="AM134" s="268">
        <f>AP27</f>
        <v>7.1169357863999135E-3</v>
      </c>
      <c r="AN134" s="269"/>
      <c r="AO134" s="270">
        <f>$AO$139*AM134</f>
        <v>15.524979232169771</v>
      </c>
      <c r="AP134" s="68"/>
      <c r="AQ134" t="s">
        <v>103</v>
      </c>
    </row>
    <row r="135" spans="1:43" x14ac:dyDescent="0.3">
      <c r="A135" s="314"/>
      <c r="B135" s="393"/>
      <c r="C135" s="355"/>
      <c r="D135" s="320"/>
      <c r="E135" s="326"/>
      <c r="F135" s="320"/>
      <c r="G135" s="378"/>
      <c r="H135" s="328"/>
      <c r="I135" s="338"/>
      <c r="J135" s="381"/>
      <c r="K135" s="320"/>
      <c r="L135" s="393"/>
      <c r="M135" s="355"/>
      <c r="N135" s="320"/>
      <c r="O135" s="326"/>
      <c r="P135" s="320"/>
      <c r="Q135" s="378"/>
      <c r="R135" s="328"/>
      <c r="S135" s="338"/>
      <c r="T135" s="381"/>
      <c r="U135" s="320"/>
      <c r="V135" s="393"/>
      <c r="W135" s="355"/>
      <c r="X135" s="320"/>
      <c r="Y135" s="326"/>
      <c r="Z135" s="320"/>
      <c r="AA135" s="378"/>
      <c r="AB135" s="328"/>
      <c r="AC135" s="338"/>
      <c r="AD135" s="381"/>
      <c r="AE135" s="320"/>
      <c r="AF135" s="272"/>
      <c r="AG135" s="273"/>
      <c r="AH135" s="308"/>
      <c r="AI135" s="266">
        <f>AI28</f>
        <v>0</v>
      </c>
      <c r="AJ135" s="267" t="s">
        <v>27</v>
      </c>
      <c r="AK135" s="267"/>
      <c r="AL135" s="267"/>
      <c r="AM135" s="268">
        <f>AP28</f>
        <v>0.56935486291199311</v>
      </c>
      <c r="AN135" s="274"/>
      <c r="AO135" s="270">
        <f>$AO$139*AM135</f>
        <v>1241.9983385735818</v>
      </c>
      <c r="AP135" s="68"/>
      <c r="AQ135" t="s">
        <v>104</v>
      </c>
    </row>
    <row r="136" spans="1:43" x14ac:dyDescent="0.3">
      <c r="A136" s="314"/>
      <c r="B136" s="393"/>
      <c r="C136" s="355"/>
      <c r="D136" s="320"/>
      <c r="E136" s="326"/>
      <c r="F136" s="320"/>
      <c r="G136" s="378"/>
      <c r="H136" s="328"/>
      <c r="I136" s="338"/>
      <c r="J136" s="381"/>
      <c r="K136" s="320"/>
      <c r="L136" s="393"/>
      <c r="M136" s="355"/>
      <c r="N136" s="320"/>
      <c r="O136" s="326"/>
      <c r="P136" s="320"/>
      <c r="Q136" s="378"/>
      <c r="R136" s="328"/>
      <c r="S136" s="338"/>
      <c r="T136" s="381"/>
      <c r="U136" s="320"/>
      <c r="V136" s="393"/>
      <c r="W136" s="355"/>
      <c r="X136" s="320"/>
      <c r="Y136" s="326"/>
      <c r="Z136" s="320"/>
      <c r="AA136" s="378"/>
      <c r="AB136" s="328"/>
      <c r="AC136" s="338"/>
      <c r="AD136" s="381"/>
      <c r="AE136" s="320"/>
      <c r="AF136" s="272"/>
      <c r="AG136" s="273"/>
      <c r="AH136" s="308"/>
      <c r="AI136" s="266">
        <v>0</v>
      </c>
      <c r="AJ136" s="267" t="s">
        <v>28</v>
      </c>
      <c r="AK136" s="267"/>
      <c r="AL136" s="267"/>
      <c r="AM136" s="268">
        <f>AP29</f>
        <v>0</v>
      </c>
      <c r="AN136" s="274"/>
      <c r="AO136" s="270">
        <f>$AO$139*AM136</f>
        <v>0</v>
      </c>
      <c r="AP136" s="68"/>
      <c r="AQ136" t="s">
        <v>105</v>
      </c>
    </row>
    <row r="137" spans="1:43" x14ac:dyDescent="0.3">
      <c r="A137" s="314"/>
      <c r="B137" s="393"/>
      <c r="C137" s="355"/>
      <c r="D137" s="320"/>
      <c r="E137" s="377"/>
      <c r="F137" s="320"/>
      <c r="G137" s="378"/>
      <c r="H137" s="328"/>
      <c r="I137" s="338"/>
      <c r="J137" s="381"/>
      <c r="K137" s="320"/>
      <c r="L137" s="393"/>
      <c r="M137" s="355"/>
      <c r="N137" s="320"/>
      <c r="O137" s="326"/>
      <c r="P137" s="320"/>
      <c r="Q137" s="378"/>
      <c r="R137" s="328"/>
      <c r="S137" s="338"/>
      <c r="T137" s="381"/>
      <c r="U137" s="320"/>
      <c r="V137" s="393"/>
      <c r="W137" s="355"/>
      <c r="X137" s="320"/>
      <c r="Y137" s="326"/>
      <c r="Z137" s="320"/>
      <c r="AA137" s="378"/>
      <c r="AB137" s="328"/>
      <c r="AC137" s="338"/>
      <c r="AD137" s="381"/>
      <c r="AE137" s="320"/>
      <c r="AF137" s="272"/>
      <c r="AG137" s="273"/>
      <c r="AH137" s="308"/>
      <c r="AI137" s="266">
        <f>AI30</f>
        <v>0</v>
      </c>
      <c r="AJ137" s="267" t="s">
        <v>30</v>
      </c>
      <c r="AK137" s="267"/>
      <c r="AL137" s="267"/>
      <c r="AM137" s="268">
        <f>AP30</f>
        <v>0.42352820130160707</v>
      </c>
      <c r="AN137" s="274"/>
      <c r="AO137" s="270">
        <f>$AO$139*AM137</f>
        <v>923.8901019748771</v>
      </c>
      <c r="AP137" s="68"/>
      <c r="AQ137" t="s">
        <v>106</v>
      </c>
    </row>
    <row r="138" spans="1:43" x14ac:dyDescent="0.3">
      <c r="A138" s="314"/>
      <c r="B138" s="393"/>
      <c r="C138" s="315"/>
      <c r="D138" s="326"/>
      <c r="E138" s="326"/>
      <c r="F138" s="391"/>
      <c r="G138" s="391"/>
      <c r="H138" s="382"/>
      <c r="I138" s="319"/>
      <c r="J138" s="381"/>
      <c r="K138" s="317"/>
      <c r="L138" s="393"/>
      <c r="M138" s="315"/>
      <c r="N138" s="326"/>
      <c r="O138" s="326"/>
      <c r="P138" s="391"/>
      <c r="Q138" s="391"/>
      <c r="R138" s="382"/>
      <c r="S138" s="319"/>
      <c r="T138" s="381"/>
      <c r="U138" s="317"/>
      <c r="V138" s="393"/>
      <c r="W138" s="315"/>
      <c r="X138" s="326"/>
      <c r="Y138" s="326"/>
      <c r="Z138" s="391"/>
      <c r="AA138" s="391"/>
      <c r="AB138" s="382"/>
      <c r="AC138" s="319"/>
      <c r="AD138" s="381"/>
      <c r="AE138" s="317"/>
      <c r="AH138" s="308"/>
      <c r="AI138" s="263"/>
      <c r="AJ138" s="271"/>
      <c r="AK138" s="313"/>
      <c r="AL138" s="313"/>
      <c r="AM138" s="313"/>
      <c r="AN138" s="275"/>
      <c r="AO138" s="276"/>
      <c r="AP138" s="68"/>
    </row>
    <row r="139" spans="1:43" x14ac:dyDescent="0.3">
      <c r="A139" s="314"/>
      <c r="B139" s="393"/>
      <c r="C139" s="325"/>
      <c r="D139" s="320"/>
      <c r="E139" s="326"/>
      <c r="F139" s="320"/>
      <c r="G139" s="321"/>
      <c r="H139" s="383"/>
      <c r="I139" s="338"/>
      <c r="J139" s="321"/>
      <c r="K139" s="320"/>
      <c r="L139" s="393"/>
      <c r="M139" s="325"/>
      <c r="N139" s="320"/>
      <c r="O139" s="326"/>
      <c r="P139" s="320"/>
      <c r="Q139" s="321"/>
      <c r="R139" s="383"/>
      <c r="S139" s="338"/>
      <c r="T139" s="321"/>
      <c r="U139" s="320"/>
      <c r="V139" s="393"/>
      <c r="W139" s="325"/>
      <c r="X139" s="320"/>
      <c r="Y139" s="326"/>
      <c r="Z139" s="320"/>
      <c r="AA139" s="321"/>
      <c r="AB139" s="383"/>
      <c r="AC139" s="338"/>
      <c r="AD139" s="321"/>
      <c r="AE139" s="320"/>
      <c r="AF139" s="282"/>
      <c r="AG139" s="283"/>
      <c r="AH139" s="309"/>
      <c r="AI139" s="277"/>
      <c r="AJ139" s="278"/>
      <c r="AK139" s="278"/>
      <c r="AL139" s="278"/>
      <c r="AM139" s="279"/>
      <c r="AN139" s="280" t="s">
        <v>107</v>
      </c>
      <c r="AO139" s="281">
        <f>AO102</f>
        <v>2181.4134197806284</v>
      </c>
      <c r="AP139" s="139"/>
    </row>
    <row r="140" spans="1:43" x14ac:dyDescent="0.3">
      <c r="A140" s="314"/>
      <c r="B140" s="375"/>
      <c r="C140" s="384"/>
      <c r="D140" s="314"/>
      <c r="E140" s="316"/>
      <c r="F140" s="314"/>
      <c r="G140" s="317"/>
      <c r="H140" s="318"/>
      <c r="I140" s="319"/>
      <c r="J140" s="317"/>
      <c r="K140" s="317"/>
      <c r="L140" s="375"/>
      <c r="M140" s="384"/>
      <c r="N140" s="314"/>
      <c r="O140" s="316"/>
      <c r="P140" s="314"/>
      <c r="Q140" s="317"/>
      <c r="R140" s="318"/>
      <c r="S140" s="319"/>
      <c r="T140" s="317"/>
      <c r="U140" s="317"/>
      <c r="V140" s="375"/>
      <c r="W140" s="384"/>
      <c r="X140" s="314"/>
      <c r="Y140" s="316"/>
      <c r="Z140" s="314"/>
      <c r="AA140" s="317"/>
      <c r="AB140" s="318"/>
      <c r="AC140" s="319"/>
      <c r="AD140" s="317"/>
      <c r="AE140" s="317"/>
      <c r="AH140" s="262"/>
      <c r="AI140" s="284"/>
      <c r="AJ140"/>
      <c r="AK140"/>
      <c r="AL140"/>
      <c r="AM140" s="20"/>
      <c r="AN140" s="40"/>
      <c r="AP140" s="20"/>
    </row>
    <row r="141" spans="1:43" ht="18" x14ac:dyDescent="0.35">
      <c r="A141" s="314"/>
      <c r="B141" s="375"/>
      <c r="C141" s="369"/>
      <c r="D141" s="385"/>
      <c r="E141" s="371"/>
      <c r="F141" s="385"/>
      <c r="G141" s="386"/>
      <c r="H141" s="387"/>
      <c r="I141" s="374"/>
      <c r="J141" s="386"/>
      <c r="K141" s="386"/>
      <c r="L141" s="375"/>
      <c r="M141" s="369"/>
      <c r="N141" s="385"/>
      <c r="O141" s="371"/>
      <c r="P141" s="385"/>
      <c r="Q141" s="386"/>
      <c r="R141" s="387"/>
      <c r="S141" s="374"/>
      <c r="T141" s="386"/>
      <c r="U141" s="386"/>
      <c r="V141" s="375"/>
      <c r="W141" s="369"/>
      <c r="X141" s="385"/>
      <c r="Y141" s="371"/>
      <c r="Z141" s="385"/>
      <c r="AA141" s="386"/>
      <c r="AB141" s="387"/>
      <c r="AC141" s="374"/>
      <c r="AD141" s="386"/>
      <c r="AE141" s="386"/>
      <c r="AF141" s="288"/>
      <c r="AG141" s="286"/>
      <c r="AH141" s="262"/>
      <c r="AI141" s="285"/>
      <c r="AJ141" s="9"/>
      <c r="AK141" s="9"/>
      <c r="AL141" s="9"/>
      <c r="AM141" s="10"/>
      <c r="AN141" s="286" t="s">
        <v>108</v>
      </c>
      <c r="AO141" s="287">
        <f>SUM(AO131,AO139,AO79:AO81,AO83,AO94)</f>
        <v>30750.95934523809</v>
      </c>
      <c r="AP141" s="10"/>
    </row>
    <row r="142" spans="1:43" x14ac:dyDescent="0.3">
      <c r="A142" s="314"/>
      <c r="B142" s="314"/>
      <c r="C142" s="315"/>
      <c r="D142" s="314"/>
      <c r="E142" s="316"/>
      <c r="F142" s="314"/>
      <c r="G142" s="317"/>
      <c r="H142" s="318"/>
      <c r="I142" s="319"/>
      <c r="J142" s="317"/>
      <c r="K142" s="317"/>
      <c r="L142" s="314"/>
      <c r="M142" s="315"/>
      <c r="N142" s="314"/>
      <c r="O142" s="316"/>
      <c r="P142" s="314"/>
      <c r="Q142" s="317"/>
      <c r="R142" s="318"/>
      <c r="S142" s="319"/>
      <c r="T142" s="317"/>
      <c r="U142" s="317"/>
      <c r="V142" s="314"/>
      <c r="W142" s="315"/>
      <c r="X142" s="314"/>
      <c r="Y142" s="316"/>
      <c r="Z142" s="314"/>
      <c r="AA142" s="317"/>
      <c r="AB142" s="318"/>
      <c r="AC142" s="319"/>
      <c r="AD142" s="317"/>
      <c r="AE142" s="317"/>
      <c r="AH142"/>
      <c r="AI142" s="2"/>
      <c r="AJ142"/>
      <c r="AK142" s="3"/>
      <c r="AL142"/>
      <c r="AM142" s="20"/>
      <c r="AN142" s="40"/>
      <c r="AP142" s="20"/>
    </row>
    <row r="143" spans="1:43" x14ac:dyDescent="0.3">
      <c r="A143" s="314"/>
      <c r="B143" s="314"/>
      <c r="C143" s="315"/>
      <c r="D143" s="314"/>
      <c r="E143" s="388"/>
      <c r="F143" s="314"/>
      <c r="G143" s="317"/>
      <c r="H143" s="367"/>
      <c r="I143" s="340"/>
      <c r="J143" s="317"/>
      <c r="K143" s="317"/>
      <c r="L143" s="314"/>
      <c r="M143" s="315"/>
      <c r="N143" s="314"/>
      <c r="O143" s="316"/>
      <c r="P143" s="314"/>
      <c r="Q143" s="317"/>
      <c r="R143" s="318"/>
      <c r="S143" s="319"/>
      <c r="T143" s="317"/>
      <c r="U143" s="317"/>
      <c r="V143" s="314"/>
      <c r="W143" s="315"/>
      <c r="X143" s="314"/>
      <c r="Y143" s="316"/>
      <c r="Z143" s="314"/>
      <c r="AA143" s="317"/>
      <c r="AB143" s="318"/>
      <c r="AC143" s="319"/>
      <c r="AD143" s="317"/>
      <c r="AE143" s="317"/>
      <c r="AH143"/>
      <c r="AI143" s="2"/>
      <c r="AJ143"/>
      <c r="AK143" s="289"/>
      <c r="AL143"/>
      <c r="AM143" s="20"/>
      <c r="AN143" s="290" t="s">
        <v>109</v>
      </c>
      <c r="AO143" s="291">
        <f>AO131</f>
        <v>17369.545925457463</v>
      </c>
    </row>
    <row r="144" spans="1:43" ht="15.6" x14ac:dyDescent="0.3">
      <c r="A144" s="314"/>
      <c r="B144" s="314"/>
      <c r="C144" s="315"/>
      <c r="D144" s="390"/>
      <c r="E144" s="390"/>
      <c r="F144" s="314"/>
      <c r="G144" s="317"/>
      <c r="H144" s="367"/>
      <c r="I144" s="340"/>
      <c r="J144" s="317"/>
      <c r="K144" s="317"/>
      <c r="L144" s="314"/>
      <c r="M144" s="315"/>
      <c r="N144" s="314"/>
      <c r="O144" s="316"/>
      <c r="P144" s="314"/>
      <c r="Q144" s="317"/>
      <c r="R144" s="318"/>
      <c r="S144" s="319"/>
      <c r="T144" s="317"/>
      <c r="U144" s="317"/>
      <c r="V144" s="314"/>
      <c r="W144" s="315"/>
      <c r="X144" s="314"/>
      <c r="Y144" s="316"/>
      <c r="Z144" s="314"/>
      <c r="AA144" s="317"/>
      <c r="AB144" s="318"/>
      <c r="AC144" s="319"/>
      <c r="AD144" s="317"/>
      <c r="AE144" s="317"/>
      <c r="AH144"/>
      <c r="AI144" s="2"/>
      <c r="AJ144" s="312" t="s">
        <v>110</v>
      </c>
      <c r="AK144" s="312"/>
      <c r="AL144"/>
      <c r="AM144" s="20" t="s">
        <v>95</v>
      </c>
      <c r="AN144" s="290" t="s">
        <v>111</v>
      </c>
      <c r="AO144" s="291">
        <f>AO123</f>
        <v>2122.1822708588716</v>
      </c>
    </row>
    <row r="145" spans="1:41" x14ac:dyDescent="0.3">
      <c r="A145" s="314"/>
      <c r="B145" s="314"/>
      <c r="C145" s="389"/>
      <c r="D145" s="314"/>
      <c r="E145" s="316"/>
      <c r="F145" s="314"/>
      <c r="G145" s="315"/>
      <c r="H145" s="318"/>
      <c r="I145" s="319"/>
      <c r="J145" s="317"/>
      <c r="K145" s="317"/>
      <c r="L145" s="314"/>
      <c r="M145" s="315"/>
      <c r="N145" s="314"/>
      <c r="O145" s="316"/>
      <c r="P145" s="314"/>
      <c r="Q145" s="317"/>
      <c r="R145" s="318"/>
      <c r="S145" s="319"/>
      <c r="T145" s="317"/>
      <c r="U145" s="317"/>
      <c r="V145" s="314"/>
      <c r="W145" s="315"/>
      <c r="X145" s="314"/>
      <c r="Y145" s="316"/>
      <c r="Z145" s="314"/>
      <c r="AA145" s="317"/>
      <c r="AB145" s="318"/>
      <c r="AC145" s="319"/>
      <c r="AD145" s="317"/>
      <c r="AE145" s="317"/>
      <c r="AH145"/>
      <c r="AI145" s="292">
        <f>AI13</f>
        <v>0.05</v>
      </c>
      <c r="AJ145" s="246" t="s">
        <v>12</v>
      </c>
      <c r="AK145" s="247"/>
      <c r="AL145"/>
      <c r="AM145" s="2"/>
      <c r="AN145" s="40"/>
      <c r="AO145" s="29">
        <f>AO131*AI145</f>
        <v>868.47729627287322</v>
      </c>
    </row>
    <row r="146" spans="1:41" x14ac:dyDescent="0.3">
      <c r="A146" s="314"/>
      <c r="B146" s="314"/>
      <c r="C146" s="346"/>
      <c r="D146" s="314"/>
      <c r="E146" s="316"/>
      <c r="F146" s="314"/>
      <c r="G146" s="346"/>
      <c r="H146" s="318"/>
      <c r="I146" s="319"/>
      <c r="J146" s="317"/>
      <c r="K146" s="317"/>
      <c r="L146" s="314"/>
      <c r="M146" s="315"/>
      <c r="N146" s="314"/>
      <c r="O146" s="316"/>
      <c r="P146" s="314"/>
      <c r="Q146" s="317"/>
      <c r="R146" s="318"/>
      <c r="S146" s="319"/>
      <c r="T146" s="317"/>
      <c r="U146" s="317"/>
      <c r="V146" s="314"/>
      <c r="W146" s="315"/>
      <c r="X146" s="314"/>
      <c r="Y146" s="316"/>
      <c r="Z146" s="314"/>
      <c r="AA146" s="317"/>
      <c r="AB146" s="318"/>
      <c r="AC146" s="319"/>
      <c r="AD146" s="317"/>
      <c r="AE146" s="317"/>
      <c r="AH146"/>
      <c r="AI146" s="251">
        <f>AO146/AO131</f>
        <v>5.8208337926545291E-2</v>
      </c>
      <c r="AJ146" s="246" t="s">
        <v>13</v>
      </c>
      <c r="AK146" s="247"/>
      <c r="AL146"/>
      <c r="AM146" s="253">
        <f>(AO14/SUM(AO14:AO16))</f>
        <v>0.80645161290322565</v>
      </c>
      <c r="AN146" s="40"/>
      <c r="AO146" s="29">
        <f>(AO123-AO145)*AM146</f>
        <v>1011.0523988596759</v>
      </c>
    </row>
    <row r="147" spans="1:41" x14ac:dyDescent="0.3">
      <c r="A147" s="314"/>
      <c r="B147" s="314"/>
      <c r="C147" s="346"/>
      <c r="D147" s="314"/>
      <c r="E147" s="316"/>
      <c r="F147" s="314"/>
      <c r="G147" s="346"/>
      <c r="H147" s="318"/>
      <c r="I147" s="319"/>
      <c r="J147" s="317"/>
      <c r="K147" s="317"/>
      <c r="L147" s="314"/>
      <c r="M147" s="315"/>
      <c r="N147" s="314"/>
      <c r="O147" s="316"/>
      <c r="P147" s="314"/>
      <c r="Q147" s="317"/>
      <c r="R147" s="318"/>
      <c r="S147" s="319"/>
      <c r="T147" s="317"/>
      <c r="U147" s="317"/>
      <c r="V147" s="314"/>
      <c r="W147" s="315"/>
      <c r="X147" s="314"/>
      <c r="Y147" s="316"/>
      <c r="Z147" s="314"/>
      <c r="AA147" s="317"/>
      <c r="AB147" s="318"/>
      <c r="AC147" s="319"/>
      <c r="AD147" s="317"/>
      <c r="AE147" s="317"/>
      <c r="AH147"/>
      <c r="AI147" s="251">
        <f>AO147/AO131</f>
        <v>8.7312506889817947E-3</v>
      </c>
      <c r="AJ147" s="246" t="s">
        <v>14</v>
      </c>
      <c r="AK147" s="247"/>
      <c r="AL147"/>
      <c r="AM147" s="253">
        <f>(AO15/SUM(AO14:AO16))</f>
        <v>0.12096774193548386</v>
      </c>
      <c r="AN147" s="40"/>
      <c r="AO147" s="29">
        <f>(AO123-AO145)*AM147</f>
        <v>151.65785982895139</v>
      </c>
    </row>
    <row r="148" spans="1:41" x14ac:dyDescent="0.3">
      <c r="A148" s="314"/>
      <c r="B148" s="314"/>
      <c r="C148" s="346"/>
      <c r="D148" s="314"/>
      <c r="E148" s="316"/>
      <c r="F148" s="314"/>
      <c r="G148" s="346"/>
      <c r="H148" s="318"/>
      <c r="I148" s="319"/>
      <c r="J148" s="317"/>
      <c r="K148" s="317"/>
      <c r="L148" s="314"/>
      <c r="M148" s="315"/>
      <c r="N148" s="314"/>
      <c r="O148" s="316"/>
      <c r="P148" s="314"/>
      <c r="Q148" s="317"/>
      <c r="R148" s="318"/>
      <c r="S148" s="319"/>
      <c r="T148" s="317"/>
      <c r="U148" s="317"/>
      <c r="V148" s="314"/>
      <c r="W148" s="315"/>
      <c r="X148" s="314"/>
      <c r="Y148" s="316"/>
      <c r="Z148" s="314"/>
      <c r="AA148" s="317"/>
      <c r="AB148" s="318"/>
      <c r="AC148" s="319"/>
      <c r="AD148" s="317"/>
      <c r="AE148" s="317"/>
      <c r="AH148"/>
      <c r="AI148" s="251">
        <f>AO148/AO131</f>
        <v>5.2387504133890768E-3</v>
      </c>
      <c r="AJ148" s="246" t="s">
        <v>15</v>
      </c>
      <c r="AK148" s="247"/>
      <c r="AL148"/>
      <c r="AM148" s="253">
        <f>(AO16/SUM(AO14:AO16))</f>
        <v>7.2580645161290314E-2</v>
      </c>
      <c r="AN148" s="40"/>
      <c r="AO148" s="29">
        <f>(AO123-AO145)*AM148</f>
        <v>90.994715897370838</v>
      </c>
    </row>
    <row r="149" spans="1:41" x14ac:dyDescent="0.3">
      <c r="A149" s="314"/>
      <c r="B149" s="314"/>
      <c r="C149" s="315"/>
      <c r="D149" s="314"/>
      <c r="E149" s="316"/>
      <c r="F149" s="314"/>
      <c r="G149" s="315"/>
      <c r="H149" s="318"/>
      <c r="I149" s="319"/>
      <c r="J149" s="317"/>
      <c r="K149" s="317"/>
      <c r="L149" s="314"/>
      <c r="M149" s="315"/>
      <c r="N149" s="314"/>
      <c r="O149" s="316"/>
      <c r="P149" s="314"/>
      <c r="Q149" s="317"/>
      <c r="R149" s="318"/>
      <c r="S149" s="319"/>
      <c r="T149" s="317"/>
      <c r="U149" s="317"/>
      <c r="V149" s="314"/>
      <c r="W149" s="315"/>
      <c r="X149" s="314"/>
      <c r="Y149" s="316"/>
      <c r="Z149" s="314"/>
      <c r="AA149" s="317"/>
      <c r="AB149" s="318"/>
      <c r="AC149" s="319"/>
      <c r="AD149" s="317"/>
      <c r="AE149" s="317"/>
      <c r="AH149"/>
      <c r="AI149" s="2"/>
      <c r="AJ149"/>
      <c r="AK149" s="3"/>
      <c r="AL149"/>
      <c r="AM149" s="2"/>
      <c r="AN149" s="40"/>
    </row>
    <row r="150" spans="1:41" x14ac:dyDescent="0.3">
      <c r="A150" s="314"/>
      <c r="B150" s="314"/>
      <c r="C150" s="315"/>
      <c r="D150" s="314"/>
      <c r="E150" s="316"/>
      <c r="F150" s="314"/>
      <c r="G150" s="317"/>
      <c r="H150" s="367"/>
      <c r="I150" s="319"/>
      <c r="J150" s="317"/>
      <c r="K150" s="317"/>
      <c r="L150" s="314"/>
      <c r="M150" s="315"/>
      <c r="N150" s="314"/>
      <c r="O150" s="316"/>
      <c r="P150" s="314"/>
      <c r="Q150" s="317"/>
      <c r="R150" s="318"/>
      <c r="S150" s="319"/>
      <c r="T150" s="317"/>
      <c r="U150" s="317"/>
      <c r="V150" s="314"/>
      <c r="W150" s="315"/>
      <c r="X150" s="314"/>
      <c r="Y150" s="316"/>
      <c r="Z150" s="314"/>
      <c r="AA150" s="317"/>
      <c r="AB150" s="318"/>
      <c r="AC150" s="319"/>
      <c r="AD150" s="317"/>
      <c r="AE150" s="317"/>
      <c r="AH150"/>
      <c r="AI150" s="2"/>
      <c r="AJ150"/>
      <c r="AK150" s="3"/>
      <c r="AL150"/>
      <c r="AM150" s="20"/>
      <c r="AN150" s="290" t="s">
        <v>109</v>
      </c>
      <c r="AO150" s="29">
        <f>AO131</f>
        <v>17369.545925457463</v>
      </c>
    </row>
    <row r="151" spans="1:41" ht="15.6" x14ac:dyDescent="0.3">
      <c r="A151" s="314"/>
      <c r="B151" s="314"/>
      <c r="C151" s="315"/>
      <c r="D151" s="390"/>
      <c r="E151" s="390"/>
      <c r="F151" s="314"/>
      <c r="G151" s="317"/>
      <c r="H151" s="367"/>
      <c r="I151" s="340"/>
      <c r="J151" s="317"/>
      <c r="K151" s="317"/>
      <c r="L151" s="314"/>
      <c r="M151" s="315"/>
      <c r="N151" s="314"/>
      <c r="O151" s="316"/>
      <c r="P151" s="314"/>
      <c r="Q151" s="317"/>
      <c r="R151" s="318"/>
      <c r="S151" s="319"/>
      <c r="T151" s="317"/>
      <c r="U151" s="317"/>
      <c r="V151" s="314"/>
      <c r="W151" s="315"/>
      <c r="X151" s="314"/>
      <c r="Y151" s="316"/>
      <c r="Z151" s="314"/>
      <c r="AA151" s="317"/>
      <c r="AB151" s="318"/>
      <c r="AC151" s="319"/>
      <c r="AD151" s="317"/>
      <c r="AE151" s="317"/>
      <c r="AH151"/>
      <c r="AI151" s="2"/>
      <c r="AJ151" s="312" t="s">
        <v>112</v>
      </c>
      <c r="AK151" s="312"/>
      <c r="AL151"/>
      <c r="AM151" s="20" t="s">
        <v>95</v>
      </c>
      <c r="AN151" s="290" t="s">
        <v>111</v>
      </c>
      <c r="AO151" s="291">
        <f>AO123</f>
        <v>2122.1822708588716</v>
      </c>
    </row>
    <row r="152" spans="1:41" x14ac:dyDescent="0.3">
      <c r="A152" s="314"/>
      <c r="B152" s="314"/>
      <c r="C152" s="346"/>
      <c r="D152" s="314"/>
      <c r="E152" s="316"/>
      <c r="F152" s="314"/>
      <c r="G152" s="315"/>
      <c r="H152" s="318"/>
      <c r="I152" s="319"/>
      <c r="J152" s="317"/>
      <c r="K152" s="317"/>
      <c r="L152" s="314"/>
      <c r="M152" s="315"/>
      <c r="N152" s="314"/>
      <c r="O152" s="316"/>
      <c r="P152" s="314"/>
      <c r="Q152" s="317"/>
      <c r="R152" s="318"/>
      <c r="S152" s="319"/>
      <c r="T152" s="317"/>
      <c r="U152" s="317"/>
      <c r="V152" s="314"/>
      <c r="W152" s="315"/>
      <c r="X152" s="314"/>
      <c r="Y152" s="316"/>
      <c r="Z152" s="314"/>
      <c r="AA152" s="317"/>
      <c r="AB152" s="318"/>
      <c r="AC152" s="319"/>
      <c r="AD152" s="317"/>
      <c r="AE152" s="317"/>
      <c r="AH152"/>
      <c r="AI152" s="251">
        <f>AO152/AO150</f>
        <v>-1.821660971083835E-3</v>
      </c>
      <c r="AJ152" s="246" t="s">
        <v>12</v>
      </c>
      <c r="AK152" s="247"/>
      <c r="AL152"/>
      <c r="AM152" s="2"/>
      <c r="AN152" s="40"/>
      <c r="AO152" s="29">
        <f>AO151-SUM(AO153:AO155)</f>
        <v>-31.641423897854111</v>
      </c>
    </row>
    <row r="153" spans="1:41" x14ac:dyDescent="0.3">
      <c r="A153" s="314"/>
      <c r="B153" s="314"/>
      <c r="C153" s="389"/>
      <c r="D153" s="314"/>
      <c r="E153" s="316"/>
      <c r="F153" s="314"/>
      <c r="G153" s="346"/>
      <c r="H153" s="318"/>
      <c r="I153" s="319"/>
      <c r="J153" s="317"/>
      <c r="K153" s="317"/>
      <c r="L153" s="314"/>
      <c r="M153" s="315"/>
      <c r="N153" s="314"/>
      <c r="O153" s="316"/>
      <c r="P153" s="314"/>
      <c r="Q153" s="317"/>
      <c r="R153" s="318"/>
      <c r="S153" s="319"/>
      <c r="T153" s="317"/>
      <c r="U153" s="317"/>
      <c r="V153" s="314"/>
      <c r="W153" s="315"/>
      <c r="X153" s="314"/>
      <c r="Y153" s="316"/>
      <c r="Z153" s="314"/>
      <c r="AA153" s="317"/>
      <c r="AB153" s="318"/>
      <c r="AC153" s="319"/>
      <c r="AD153" s="317"/>
      <c r="AE153" s="317"/>
      <c r="AH153"/>
      <c r="AI153" s="292">
        <f>AI14</f>
        <v>0.1</v>
      </c>
      <c r="AJ153" s="246" t="s">
        <v>13</v>
      </c>
      <c r="AK153" s="247"/>
      <c r="AL153"/>
      <c r="AM153" s="253"/>
      <c r="AN153" s="40"/>
      <c r="AO153" s="29">
        <f>AO150*AI153</f>
        <v>1736.9545925457464</v>
      </c>
    </row>
    <row r="154" spans="1:41" x14ac:dyDescent="0.3">
      <c r="A154" s="314"/>
      <c r="B154" s="314"/>
      <c r="C154" s="389"/>
      <c r="D154" s="314"/>
      <c r="E154" s="316"/>
      <c r="F154" s="314"/>
      <c r="G154" s="346"/>
      <c r="H154" s="318"/>
      <c r="I154" s="319"/>
      <c r="J154" s="317"/>
      <c r="K154" s="317"/>
      <c r="L154" s="314"/>
      <c r="M154" s="315"/>
      <c r="N154" s="314"/>
      <c r="O154" s="316"/>
      <c r="P154" s="314"/>
      <c r="Q154" s="317"/>
      <c r="R154" s="318"/>
      <c r="S154" s="319"/>
      <c r="T154" s="317"/>
      <c r="U154" s="317"/>
      <c r="V154" s="314"/>
      <c r="W154" s="315"/>
      <c r="X154" s="314"/>
      <c r="Y154" s="316"/>
      <c r="Z154" s="314"/>
      <c r="AA154" s="317"/>
      <c r="AB154" s="318"/>
      <c r="AC154" s="319"/>
      <c r="AD154" s="317"/>
      <c r="AE154" s="317"/>
      <c r="AH154"/>
      <c r="AI154" s="292">
        <f t="shared" ref="AI154:AI155" si="4">AI15</f>
        <v>1.5000000000000001E-2</v>
      </c>
      <c r="AJ154" s="246" t="s">
        <v>14</v>
      </c>
      <c r="AK154" s="247"/>
      <c r="AL154"/>
      <c r="AM154" s="253"/>
      <c r="AN154" s="40"/>
      <c r="AO154" s="29">
        <f>AO150*AI154</f>
        <v>260.54318888186197</v>
      </c>
    </row>
    <row r="155" spans="1:41" x14ac:dyDescent="0.3">
      <c r="A155" s="314"/>
      <c r="B155" s="314"/>
      <c r="C155" s="389"/>
      <c r="D155" s="314"/>
      <c r="E155" s="316"/>
      <c r="F155" s="314"/>
      <c r="G155" s="346"/>
      <c r="H155" s="318"/>
      <c r="I155" s="319"/>
      <c r="J155" s="317"/>
      <c r="K155" s="317"/>
      <c r="L155" s="314"/>
      <c r="M155" s="315"/>
      <c r="N155" s="314"/>
      <c r="O155" s="316"/>
      <c r="P155" s="314"/>
      <c r="Q155" s="317"/>
      <c r="R155" s="318"/>
      <c r="S155" s="319"/>
      <c r="T155" s="317"/>
      <c r="U155" s="317"/>
      <c r="V155" s="314"/>
      <c r="W155" s="315"/>
      <c r="X155" s="314"/>
      <c r="Y155" s="316"/>
      <c r="Z155" s="314"/>
      <c r="AA155" s="317"/>
      <c r="AB155" s="318"/>
      <c r="AC155" s="319"/>
      <c r="AD155" s="317"/>
      <c r="AE155" s="317"/>
      <c r="AH155"/>
      <c r="AI155" s="292">
        <f t="shared" si="4"/>
        <v>8.9999999999999993E-3</v>
      </c>
      <c r="AJ155" s="246" t="s">
        <v>15</v>
      </c>
      <c r="AK155" s="247"/>
      <c r="AL155"/>
      <c r="AM155" s="253"/>
      <c r="AN155" s="40"/>
      <c r="AO155" s="29">
        <f>AO150*AI155</f>
        <v>156.32591332911716</v>
      </c>
    </row>
    <row r="156" spans="1:41" x14ac:dyDescent="0.3">
      <c r="A156" s="314"/>
      <c r="B156" s="314"/>
      <c r="C156" s="315"/>
      <c r="D156" s="314"/>
      <c r="E156" s="316"/>
      <c r="F156" s="314"/>
      <c r="G156" s="317"/>
      <c r="H156" s="318"/>
      <c r="I156" s="319"/>
      <c r="J156" s="317"/>
      <c r="K156" s="317"/>
      <c r="L156" s="314"/>
      <c r="M156" s="315"/>
      <c r="N156" s="314"/>
      <c r="O156" s="316"/>
      <c r="P156" s="314"/>
      <c r="Q156" s="317"/>
      <c r="R156" s="318"/>
      <c r="S156" s="319"/>
      <c r="T156" s="317"/>
      <c r="U156" s="317"/>
      <c r="V156" s="314"/>
      <c r="W156" s="315"/>
      <c r="X156" s="314"/>
      <c r="Y156" s="316"/>
      <c r="Z156" s="314"/>
      <c r="AA156" s="317"/>
      <c r="AB156" s="318"/>
      <c r="AC156" s="319"/>
      <c r="AD156" s="317"/>
      <c r="AE156" s="317"/>
    </row>
    <row r="157" spans="1:41" x14ac:dyDescent="0.3">
      <c r="A157" s="314"/>
      <c r="B157" s="314"/>
      <c r="C157" s="315"/>
      <c r="D157" s="314"/>
      <c r="E157" s="316"/>
      <c r="F157" s="314"/>
      <c r="G157" s="317"/>
      <c r="H157" s="318"/>
      <c r="I157" s="319"/>
      <c r="J157" s="317"/>
      <c r="K157" s="317"/>
      <c r="L157" s="314"/>
      <c r="M157" s="315"/>
      <c r="N157" s="314"/>
      <c r="O157" s="316"/>
      <c r="P157" s="314"/>
      <c r="Q157" s="317"/>
      <c r="R157" s="318"/>
      <c r="S157" s="319"/>
      <c r="T157" s="317"/>
      <c r="U157" s="317"/>
      <c r="V157" s="314"/>
      <c r="W157" s="315"/>
      <c r="X157" s="314"/>
      <c r="Y157" s="316"/>
      <c r="Z157" s="314"/>
      <c r="AA157" s="317"/>
      <c r="AB157" s="318"/>
      <c r="AC157" s="319"/>
      <c r="AD157" s="317"/>
      <c r="AE157" s="317"/>
    </row>
    <row r="158" spans="1:41" x14ac:dyDescent="0.3">
      <c r="A158" s="314"/>
      <c r="B158" s="314"/>
      <c r="C158" s="315"/>
      <c r="D158" s="314"/>
      <c r="E158" s="316"/>
      <c r="F158" s="314"/>
      <c r="G158" s="317"/>
      <c r="H158" s="318"/>
      <c r="I158" s="319"/>
      <c r="J158" s="317"/>
      <c r="K158" s="317"/>
      <c r="L158" s="314"/>
      <c r="M158" s="315"/>
      <c r="N158" s="314"/>
      <c r="O158" s="316"/>
      <c r="P158" s="314"/>
      <c r="Q158" s="317"/>
      <c r="R158" s="318"/>
      <c r="S158" s="319"/>
      <c r="T158" s="317"/>
      <c r="U158" s="317"/>
      <c r="V158" s="314"/>
      <c r="W158" s="315"/>
      <c r="X158" s="314"/>
      <c r="Y158" s="316"/>
      <c r="Z158" s="314"/>
      <c r="AA158" s="317"/>
      <c r="AB158" s="318"/>
      <c r="AC158" s="319"/>
      <c r="AD158" s="317"/>
      <c r="AE158" s="317"/>
    </row>
  </sheetData>
  <mergeCells count="56">
    <mergeCell ref="AJ144:AK144"/>
    <mergeCell ref="AJ151:AK151"/>
    <mergeCell ref="AH133:AH139"/>
    <mergeCell ref="AJ133:AO133"/>
    <mergeCell ref="AK138:AM138"/>
    <mergeCell ref="AL96:AM96"/>
    <mergeCell ref="AL97:AM97"/>
    <mergeCell ref="AL87:AM87"/>
    <mergeCell ref="AL88:AM88"/>
    <mergeCell ref="B71:I72"/>
    <mergeCell ref="L71:S72"/>
    <mergeCell ref="V71:AC72"/>
    <mergeCell ref="AH71:AO72"/>
    <mergeCell ref="AH75:AH131"/>
    <mergeCell ref="AL85:AM85"/>
    <mergeCell ref="AL86:AM86"/>
    <mergeCell ref="F55:G55"/>
    <mergeCell ref="P55:Q55"/>
    <mergeCell ref="Z55:AA55"/>
    <mergeCell ref="AL55:AM55"/>
    <mergeCell ref="F56:G56"/>
    <mergeCell ref="P56:Q56"/>
    <mergeCell ref="Z56:AA56"/>
    <mergeCell ref="AL56:AM56"/>
    <mergeCell ref="F46:G46"/>
    <mergeCell ref="P46:Q46"/>
    <mergeCell ref="Z46:AA46"/>
    <mergeCell ref="AL46:AM46"/>
    <mergeCell ref="F47:G47"/>
    <mergeCell ref="P47:Q47"/>
    <mergeCell ref="Z47:AA47"/>
    <mergeCell ref="AL47:AM47"/>
    <mergeCell ref="F44:G44"/>
    <mergeCell ref="P44:Q44"/>
    <mergeCell ref="Z44:AA44"/>
    <mergeCell ref="AL44:AM44"/>
    <mergeCell ref="F45:G45"/>
    <mergeCell ref="P45:Q45"/>
    <mergeCell ref="Z45:AA45"/>
    <mergeCell ref="AL45:AM45"/>
    <mergeCell ref="C26:H26"/>
    <mergeCell ref="M26:R26"/>
    <mergeCell ref="W26:AB26"/>
    <mergeCell ref="AI26:AN26"/>
    <mergeCell ref="C36:H36"/>
    <mergeCell ref="M36:R36"/>
    <mergeCell ref="W36:AB36"/>
    <mergeCell ref="AI36:AN36"/>
    <mergeCell ref="C4:I4"/>
    <mergeCell ref="M4:S4"/>
    <mergeCell ref="W4:AC4"/>
    <mergeCell ref="AI4:AO4"/>
    <mergeCell ref="B5:B24"/>
    <mergeCell ref="L5:L24"/>
    <mergeCell ref="V5:V24"/>
    <mergeCell ref="AH5:AH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2026-07-22T16:47:50Z</dcterms:created>
  <dcterms:modified xsi:type="dcterms:W3CDTF">2026-07-31T17:33:30Z</dcterms:modified>
</cp:coreProperties>
</file>